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25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0e1b0507c87e25/デスクトップ/"/>
    </mc:Choice>
  </mc:AlternateContent>
  <xr:revisionPtr revIDLastSave="2438" documentId="13_ncr:1_{F7FAE849-EC61-49FC-8CEB-0B3C49DDD241}" xr6:coauthVersionLast="47" xr6:coauthVersionMax="47" xr10:uidLastSave="{5EE6E98D-95AA-4E56-80D4-E81BDB71FF0F}"/>
  <bookViews>
    <workbookView xWindow="-120" yWindow="-120" windowWidth="38640" windowHeight="21240" xr2:uid="{DAAA4697-2F7C-4A4A-B92A-623E1F968C72}"/>
  </bookViews>
  <sheets>
    <sheet name="振込表" sheetId="57" r:id="rId1"/>
    <sheet name="石飛大工" sheetId="10" r:id="rId2"/>
    <sheet name="出雲採石" sheetId="7" r:id="rId3"/>
    <sheet name="出雲BCクリーン" sheetId="9" r:id="rId4"/>
    <sheet name="伊藤畳" sheetId="8" r:id="rId5"/>
    <sheet name="イマックス" sheetId="6" r:id="rId6"/>
    <sheet name="インテリ屋のり" sheetId="5" r:id="rId7"/>
    <sheet name="内田" sheetId="4" r:id="rId8"/>
    <sheet name="Nカラー" sheetId="3" r:id="rId9"/>
    <sheet name="エムエイチ" sheetId="11" r:id="rId10"/>
    <sheet name="OKリース" sheetId="13" r:id="rId11"/>
    <sheet name="太田建材" sheetId="14" r:id="rId12"/>
    <sheet name="大森土建" sheetId="15" r:id="rId13"/>
    <sheet name="小村分店" sheetId="16" r:id="rId14"/>
    <sheet name="海潮産業" sheetId="17" r:id="rId15"/>
    <sheet name="兼折左工所" sheetId="18" r:id="rId16"/>
    <sheet name="釜屋塗装" sheetId="19" r:id="rId17"/>
    <sheet name="小林大工" sheetId="20" r:id="rId18"/>
    <sheet name="島根サッシ" sheetId="21" r:id="rId19"/>
    <sheet name="JAいずも" sheetId="52" r:id="rId20"/>
    <sheet name="高橋セメント" sheetId="22" r:id="rId21"/>
    <sheet name="恒松設備" sheetId="23" r:id="rId22"/>
    <sheet name="西尾大工" sheetId="25" r:id="rId23"/>
    <sheet name="日晃電設" sheetId="26" r:id="rId24"/>
    <sheet name="バーンフィールド" sheetId="27" r:id="rId25"/>
    <sheet name="早見木工" sheetId="24" r:id="rId26"/>
    <sheet name="平田クレーン" sheetId="28" r:id="rId27"/>
    <sheet name="フクマ住設" sheetId="29" r:id="rId28"/>
    <sheet name="藤江板金" sheetId="30" r:id="rId29"/>
    <sheet name="藤原大工" sheetId="31" r:id="rId30"/>
    <sheet name="プレコ" sheetId="32" r:id="rId31"/>
    <sheet name="ホリオ機械" sheetId="33" r:id="rId32"/>
    <sheet name="本田技建" sheetId="34" r:id="rId33"/>
    <sheet name="まるふく商事" sheetId="35" r:id="rId34"/>
    <sheet name="ミヤジキ板金" sheetId="36" r:id="rId35"/>
    <sheet name="ムニリペア" sheetId="37" r:id="rId36"/>
    <sheet name="持田土地家屋" sheetId="38" r:id="rId37"/>
    <sheet name="ゆみ設計室" sheetId="39" r:id="rId38"/>
    <sheet name="その他（仕入）" sheetId="56" r:id="rId39"/>
    <sheet name="アールプラス" sheetId="54" r:id="rId40"/>
    <sheet name="ハウジング" sheetId="41" r:id="rId41"/>
    <sheet name="岡田" sheetId="55" r:id="rId42"/>
    <sheet name="その他" sheetId="40" r:id="rId43"/>
    <sheet name="在庫（内田）" sheetId="42" r:id="rId44"/>
    <sheet name="在庫（自社）" sheetId="43" r:id="rId45"/>
    <sheet name="エスペランサ" sheetId="44" r:id="rId46"/>
    <sheet name="北脇酒店" sheetId="45" r:id="rId47"/>
    <sheet name="山陰中央SC" sheetId="46" r:id="rId48"/>
    <sheet name="西村印刷" sheetId="47" r:id="rId49"/>
    <sheet name="ムーンライトF" sheetId="48" r:id="rId50"/>
    <sheet name="（経費）その他" sheetId="49" r:id="rId51"/>
    <sheet name="原本" sheetId="50" r:id="rId52"/>
    <sheet name="原本2" sheetId="51" r:id="rId5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7" i="57" l="1"/>
  <c r="AB47" i="57"/>
  <c r="AB46" i="57"/>
  <c r="AB45" i="57"/>
  <c r="AB44" i="57"/>
  <c r="AB43" i="57"/>
  <c r="AB42" i="57"/>
  <c r="AB41" i="57"/>
  <c r="AB40" i="57"/>
  <c r="AB39" i="57"/>
  <c r="AB37" i="57"/>
  <c r="AB36" i="57"/>
  <c r="AB35" i="57"/>
  <c r="AB34" i="57"/>
  <c r="AB33" i="57"/>
  <c r="AB32" i="57"/>
  <c r="AB31" i="57"/>
  <c r="AB30" i="57"/>
  <c r="AB29" i="57"/>
  <c r="AB28" i="57"/>
  <c r="AB27" i="57"/>
  <c r="AB26" i="57"/>
  <c r="AB25" i="57"/>
  <c r="AB24" i="57"/>
  <c r="AB23" i="57"/>
  <c r="AB22" i="57"/>
  <c r="AB21" i="57"/>
  <c r="AB20" i="57"/>
  <c r="AB19" i="57"/>
  <c r="AB18" i="57"/>
  <c r="AB17" i="57"/>
  <c r="AB16" i="57"/>
  <c r="AB15" i="57"/>
  <c r="AB14" i="57"/>
  <c r="AB13" i="57"/>
  <c r="AB58" i="57" s="1"/>
  <c r="AB12" i="57"/>
  <c r="AB11" i="57"/>
  <c r="AB10" i="57"/>
  <c r="AB9" i="57"/>
  <c r="AB8" i="57"/>
  <c r="AB7" i="57"/>
  <c r="AB6" i="57"/>
  <c r="AB5" i="57"/>
  <c r="AB4" i="57"/>
  <c r="AB3" i="57"/>
  <c r="AB2" i="57"/>
  <c r="AA61" i="57"/>
  <c r="AA59" i="57"/>
  <c r="AA58" i="57"/>
  <c r="Z61" i="57"/>
  <c r="Z59" i="57"/>
  <c r="Z58" i="57"/>
  <c r="X61" i="57"/>
  <c r="X59" i="57"/>
  <c r="X58" i="57"/>
  <c r="V61" i="57"/>
  <c r="V59" i="57"/>
  <c r="V58" i="57"/>
  <c r="T61" i="57"/>
  <c r="T59" i="57"/>
  <c r="T58" i="57"/>
  <c r="R61" i="57"/>
  <c r="R59" i="57"/>
  <c r="R58" i="57"/>
  <c r="P61" i="57"/>
  <c r="P59" i="57"/>
  <c r="P58" i="57"/>
  <c r="N61" i="57"/>
  <c r="N59" i="57"/>
  <c r="N58" i="57"/>
  <c r="L61" i="57"/>
  <c r="L59" i="57"/>
  <c r="L58" i="57"/>
  <c r="J61" i="57"/>
  <c r="J59" i="57"/>
  <c r="J58" i="57"/>
  <c r="H61" i="57"/>
  <c r="H59" i="57"/>
  <c r="H58" i="57"/>
  <c r="F61" i="57"/>
  <c r="F59" i="57"/>
  <c r="F58" i="57"/>
  <c r="D59" i="57"/>
  <c r="D58" i="57"/>
  <c r="D61" i="57"/>
  <c r="V60" i="57" l="1"/>
  <c r="X60" i="57"/>
  <c r="AB59" i="57"/>
  <c r="L60" i="57"/>
  <c r="P60" i="57"/>
  <c r="J60" i="57"/>
  <c r="D60" i="57"/>
  <c r="H60" i="57"/>
  <c r="T60" i="57"/>
  <c r="AA60" i="57"/>
  <c r="F60" i="57"/>
  <c r="N60" i="57"/>
  <c r="R60" i="57"/>
  <c r="Z60" i="57"/>
  <c r="AB61" i="57"/>
  <c r="F48" i="56"/>
  <c r="F47" i="56"/>
  <c r="F46" i="56"/>
  <c r="F45" i="56"/>
  <c r="F44" i="56"/>
  <c r="F43" i="56"/>
  <c r="F42" i="56"/>
  <c r="F41" i="56"/>
  <c r="F40" i="56"/>
  <c r="F39" i="56"/>
  <c r="F38" i="56"/>
  <c r="F37" i="56"/>
  <c r="F36" i="56"/>
  <c r="F35" i="56"/>
  <c r="F34" i="56"/>
  <c r="F33" i="56"/>
  <c r="F32" i="56"/>
  <c r="F31" i="56"/>
  <c r="F30" i="56"/>
  <c r="F29" i="56"/>
  <c r="F28" i="56"/>
  <c r="F27" i="56"/>
  <c r="F26" i="56"/>
  <c r="F25" i="56"/>
  <c r="F24" i="56"/>
  <c r="F23" i="56"/>
  <c r="F22" i="56"/>
  <c r="F21" i="56"/>
  <c r="F20" i="56"/>
  <c r="F19" i="56"/>
  <c r="F18" i="56"/>
  <c r="F17" i="56"/>
  <c r="F16" i="56"/>
  <c r="F15" i="56"/>
  <c r="F14" i="56"/>
  <c r="F13" i="56"/>
  <c r="F12" i="56"/>
  <c r="F11" i="56"/>
  <c r="F10" i="56"/>
  <c r="F9" i="56"/>
  <c r="F8" i="56"/>
  <c r="F7" i="56"/>
  <c r="F6" i="56"/>
  <c r="F5" i="56"/>
  <c r="F4" i="56"/>
  <c r="F3" i="56"/>
  <c r="F2" i="56"/>
  <c r="H49" i="56"/>
  <c r="F48" i="44"/>
  <c r="I48" i="44" s="1"/>
  <c r="H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F13" i="55"/>
  <c r="F12" i="55"/>
  <c r="F11" i="55"/>
  <c r="F10" i="55"/>
  <c r="F9" i="55"/>
  <c r="F8" i="55"/>
  <c r="F7" i="55"/>
  <c r="F6" i="55"/>
  <c r="F5" i="55"/>
  <c r="F4" i="55"/>
  <c r="F3" i="55"/>
  <c r="F2" i="55"/>
  <c r="K52" i="54"/>
  <c r="H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F13" i="54"/>
  <c r="F12" i="54"/>
  <c r="F11" i="54"/>
  <c r="F10" i="54"/>
  <c r="F9" i="54"/>
  <c r="F8" i="54"/>
  <c r="F7" i="54"/>
  <c r="F6" i="54"/>
  <c r="F5" i="54"/>
  <c r="F4" i="54"/>
  <c r="F3" i="54"/>
  <c r="F2" i="54"/>
  <c r="F8" i="52"/>
  <c r="F4" i="52"/>
  <c r="F7" i="52"/>
  <c r="K48" i="52"/>
  <c r="H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F13" i="52"/>
  <c r="F12" i="52"/>
  <c r="F11" i="52"/>
  <c r="F10" i="52"/>
  <c r="F9" i="52"/>
  <c r="F5" i="52"/>
  <c r="F6" i="52"/>
  <c r="F3" i="52"/>
  <c r="F2" i="52"/>
  <c r="I2" i="52" s="1"/>
  <c r="H48" i="51"/>
  <c r="H48" i="50"/>
  <c r="H48" i="49"/>
  <c r="H48" i="48"/>
  <c r="H48" i="47"/>
  <c r="H48" i="46"/>
  <c r="H48" i="45"/>
  <c r="H49" i="44"/>
  <c r="H48" i="42"/>
  <c r="K48" i="42"/>
  <c r="F18" i="41"/>
  <c r="F19" i="41"/>
  <c r="F20" i="41"/>
  <c r="F21" i="41"/>
  <c r="H52" i="41"/>
  <c r="K52" i="41"/>
  <c r="H48" i="40"/>
  <c r="H48" i="39"/>
  <c r="K48" i="39"/>
  <c r="H48" i="38"/>
  <c r="K48" i="38"/>
  <c r="H48" i="37"/>
  <c r="K48" i="37"/>
  <c r="H48" i="36"/>
  <c r="K48" i="36"/>
  <c r="H48" i="35"/>
  <c r="K48" i="35"/>
  <c r="H48" i="34"/>
  <c r="K48" i="34"/>
  <c r="H48" i="33"/>
  <c r="H48" i="32"/>
  <c r="H48" i="31"/>
  <c r="K48" i="31"/>
  <c r="H48" i="30"/>
  <c r="K48" i="30"/>
  <c r="H48" i="29"/>
  <c r="K48" i="29"/>
  <c r="H48" i="28"/>
  <c r="K48" i="28"/>
  <c r="H48" i="27"/>
  <c r="K48" i="27"/>
  <c r="H48" i="24"/>
  <c r="K48" i="24"/>
  <c r="H48" i="26"/>
  <c r="H48" i="25"/>
  <c r="K48" i="25"/>
  <c r="H48" i="23"/>
  <c r="K48" i="23"/>
  <c r="H48" i="22"/>
  <c r="H48" i="21"/>
  <c r="K48" i="21"/>
  <c r="H48" i="20"/>
  <c r="K48" i="20"/>
  <c r="H48" i="19"/>
  <c r="K48" i="19"/>
  <c r="H48" i="18"/>
  <c r="K48" i="18"/>
  <c r="H48" i="17"/>
  <c r="K48" i="17"/>
  <c r="H48" i="16"/>
  <c r="K48" i="16"/>
  <c r="H48" i="15"/>
  <c r="K48" i="15"/>
  <c r="H48" i="14"/>
  <c r="K48" i="14"/>
  <c r="H48" i="13"/>
  <c r="K48" i="13"/>
  <c r="H48" i="11"/>
  <c r="K48" i="11"/>
  <c r="H48" i="3"/>
  <c r="K48" i="3"/>
  <c r="H48" i="4"/>
  <c r="K48" i="4"/>
  <c r="H48" i="5"/>
  <c r="K48" i="5"/>
  <c r="H50" i="6"/>
  <c r="K50" i="6"/>
  <c r="H48" i="8"/>
  <c r="K48" i="8"/>
  <c r="H50" i="9"/>
  <c r="K50" i="9"/>
  <c r="H48" i="7"/>
  <c r="K48" i="7"/>
  <c r="H50" i="10"/>
  <c r="H48" i="43"/>
  <c r="K48" i="43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F13" i="51"/>
  <c r="F12" i="51"/>
  <c r="F11" i="51"/>
  <c r="F10" i="51"/>
  <c r="F9" i="51"/>
  <c r="F8" i="51"/>
  <c r="F7" i="51"/>
  <c r="F6" i="51"/>
  <c r="F5" i="51"/>
  <c r="F4" i="51"/>
  <c r="F3" i="51"/>
  <c r="F2" i="51"/>
  <c r="I2" i="51" s="1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F13" i="50"/>
  <c r="F12" i="50"/>
  <c r="F11" i="50"/>
  <c r="F10" i="50"/>
  <c r="F9" i="50"/>
  <c r="F8" i="50"/>
  <c r="F7" i="50"/>
  <c r="F6" i="50"/>
  <c r="F5" i="50"/>
  <c r="F4" i="50"/>
  <c r="F3" i="50"/>
  <c r="F2" i="50"/>
  <c r="I2" i="50" s="1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F13" i="49"/>
  <c r="F12" i="49"/>
  <c r="F11" i="49"/>
  <c r="F9" i="49"/>
  <c r="F10" i="49"/>
  <c r="F8" i="49"/>
  <c r="F7" i="49"/>
  <c r="F5" i="49"/>
  <c r="F6" i="49"/>
  <c r="F4" i="49"/>
  <c r="F3" i="49"/>
  <c r="F2" i="49"/>
  <c r="I2" i="49" s="1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F7" i="48"/>
  <c r="F6" i="48"/>
  <c r="F5" i="48"/>
  <c r="F4" i="48"/>
  <c r="F3" i="48"/>
  <c r="F2" i="48"/>
  <c r="I2" i="48" s="1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F13" i="47"/>
  <c r="F12" i="47"/>
  <c r="F11" i="47"/>
  <c r="F10" i="47"/>
  <c r="F9" i="47"/>
  <c r="F8" i="47"/>
  <c r="F7" i="47"/>
  <c r="F6" i="47"/>
  <c r="F5" i="47"/>
  <c r="F4" i="47"/>
  <c r="F3" i="47"/>
  <c r="F2" i="47"/>
  <c r="I2" i="47" s="1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F13" i="46"/>
  <c r="F12" i="46"/>
  <c r="F11" i="46"/>
  <c r="F10" i="46"/>
  <c r="F9" i="46"/>
  <c r="F8" i="46"/>
  <c r="F7" i="46"/>
  <c r="F6" i="46"/>
  <c r="F5" i="46"/>
  <c r="F4" i="46"/>
  <c r="F3" i="46"/>
  <c r="F2" i="46"/>
  <c r="I2" i="46" s="1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F13" i="45"/>
  <c r="F12" i="45"/>
  <c r="F11" i="45"/>
  <c r="F10" i="45"/>
  <c r="F9" i="45"/>
  <c r="F8" i="45"/>
  <c r="F7" i="45"/>
  <c r="F6" i="45"/>
  <c r="F5" i="45"/>
  <c r="F4" i="45"/>
  <c r="F3" i="45"/>
  <c r="F2" i="45"/>
  <c r="I2" i="45" s="1"/>
  <c r="I3" i="45" s="1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F13" i="44"/>
  <c r="F12" i="44"/>
  <c r="F11" i="44"/>
  <c r="F10" i="44"/>
  <c r="F9" i="44"/>
  <c r="F8" i="44"/>
  <c r="F7" i="44"/>
  <c r="F6" i="44"/>
  <c r="F5" i="44"/>
  <c r="F4" i="44"/>
  <c r="F3" i="44"/>
  <c r="F2" i="44"/>
  <c r="I2" i="44" s="1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F13" i="43"/>
  <c r="F12" i="43"/>
  <c r="F11" i="43"/>
  <c r="F10" i="43"/>
  <c r="F9" i="43"/>
  <c r="F8" i="43"/>
  <c r="F7" i="43"/>
  <c r="F6" i="43"/>
  <c r="F5" i="43"/>
  <c r="F4" i="43"/>
  <c r="F3" i="43"/>
  <c r="F2" i="43"/>
  <c r="I2" i="43" s="1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F13" i="42"/>
  <c r="F12" i="42"/>
  <c r="F11" i="42"/>
  <c r="F10" i="42"/>
  <c r="F9" i="42"/>
  <c r="F8" i="42"/>
  <c r="F7" i="42"/>
  <c r="F6" i="42"/>
  <c r="F5" i="42"/>
  <c r="F4" i="42"/>
  <c r="F3" i="42"/>
  <c r="F2" i="42"/>
  <c r="I2" i="42" s="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17" i="41"/>
  <c r="F16" i="41"/>
  <c r="F15" i="41"/>
  <c r="F14" i="41"/>
  <c r="F13" i="41"/>
  <c r="F12" i="41"/>
  <c r="F11" i="41"/>
  <c r="F10" i="41"/>
  <c r="F9" i="41"/>
  <c r="F8" i="41"/>
  <c r="F7" i="41"/>
  <c r="F6" i="41"/>
  <c r="F5" i="41"/>
  <c r="F4" i="41"/>
  <c r="F3" i="41"/>
  <c r="F2" i="41"/>
  <c r="I2" i="41" s="1"/>
  <c r="F47" i="40"/>
  <c r="F46" i="40"/>
  <c r="F45" i="40"/>
  <c r="F44" i="40"/>
  <c r="F43" i="40"/>
  <c r="F42" i="40"/>
  <c r="F41" i="40"/>
  <c r="F40" i="40"/>
  <c r="F39" i="40"/>
  <c r="F38" i="40"/>
  <c r="F37" i="40"/>
  <c r="F36" i="40"/>
  <c r="F35" i="40"/>
  <c r="F34" i="40"/>
  <c r="F33" i="40"/>
  <c r="F32" i="40"/>
  <c r="F31" i="40"/>
  <c r="F30" i="40"/>
  <c r="F29" i="40"/>
  <c r="F28" i="40"/>
  <c r="F27" i="40"/>
  <c r="F26" i="40"/>
  <c r="F25" i="40"/>
  <c r="F24" i="40"/>
  <c r="F23" i="40"/>
  <c r="F22" i="40"/>
  <c r="F21" i="40"/>
  <c r="F20" i="40"/>
  <c r="F19" i="40"/>
  <c r="F18" i="40"/>
  <c r="F17" i="40"/>
  <c r="F16" i="40"/>
  <c r="F15" i="40"/>
  <c r="F14" i="40"/>
  <c r="F13" i="40"/>
  <c r="F12" i="40"/>
  <c r="F11" i="40"/>
  <c r="F10" i="40"/>
  <c r="F9" i="40"/>
  <c r="F8" i="40"/>
  <c r="F7" i="40"/>
  <c r="F6" i="40"/>
  <c r="F5" i="40"/>
  <c r="F4" i="40"/>
  <c r="F3" i="40"/>
  <c r="F2" i="40"/>
  <c r="I2" i="40" s="1"/>
  <c r="F47" i="39"/>
  <c r="F46" i="39"/>
  <c r="F45" i="39"/>
  <c r="F44" i="39"/>
  <c r="F43" i="39"/>
  <c r="F42" i="39"/>
  <c r="F41" i="39"/>
  <c r="F40" i="39"/>
  <c r="F39" i="39"/>
  <c r="F38" i="39"/>
  <c r="F37" i="39"/>
  <c r="F36" i="39"/>
  <c r="F35" i="39"/>
  <c r="F34" i="39"/>
  <c r="F33" i="39"/>
  <c r="F32" i="39"/>
  <c r="F31" i="39"/>
  <c r="F30" i="39"/>
  <c r="F29" i="39"/>
  <c r="F28" i="39"/>
  <c r="F27" i="39"/>
  <c r="F26" i="39"/>
  <c r="F25" i="39"/>
  <c r="F24" i="39"/>
  <c r="F23" i="39"/>
  <c r="F22" i="39"/>
  <c r="F21" i="39"/>
  <c r="F20" i="39"/>
  <c r="F19" i="39"/>
  <c r="F18" i="39"/>
  <c r="F17" i="39"/>
  <c r="F16" i="39"/>
  <c r="F15" i="39"/>
  <c r="F14" i="39"/>
  <c r="F13" i="39"/>
  <c r="F12" i="39"/>
  <c r="F11" i="39"/>
  <c r="F10" i="39"/>
  <c r="F9" i="39"/>
  <c r="F8" i="39"/>
  <c r="F7" i="39"/>
  <c r="F6" i="39"/>
  <c r="F5" i="39"/>
  <c r="F4" i="39"/>
  <c r="F3" i="39"/>
  <c r="F2" i="39"/>
  <c r="I2" i="39" s="1"/>
  <c r="I3" i="39" s="1"/>
  <c r="I4" i="39" s="1"/>
  <c r="F47" i="38"/>
  <c r="F46" i="38"/>
  <c r="F45" i="38"/>
  <c r="F44" i="38"/>
  <c r="F43" i="38"/>
  <c r="F42" i="38"/>
  <c r="F41" i="38"/>
  <c r="F40" i="38"/>
  <c r="F39" i="38"/>
  <c r="F38" i="38"/>
  <c r="F37" i="38"/>
  <c r="F36" i="38"/>
  <c r="F35" i="38"/>
  <c r="F34" i="38"/>
  <c r="F33" i="38"/>
  <c r="F32" i="38"/>
  <c r="F31" i="38"/>
  <c r="F30" i="38"/>
  <c r="F29" i="38"/>
  <c r="F28" i="38"/>
  <c r="F27" i="38"/>
  <c r="F26" i="38"/>
  <c r="F25" i="38"/>
  <c r="F24" i="38"/>
  <c r="F23" i="38"/>
  <c r="F22" i="38"/>
  <c r="F21" i="38"/>
  <c r="F20" i="38"/>
  <c r="F19" i="38"/>
  <c r="F18" i="38"/>
  <c r="F17" i="38"/>
  <c r="F16" i="38"/>
  <c r="F15" i="38"/>
  <c r="F14" i="38"/>
  <c r="F13" i="38"/>
  <c r="F12" i="38"/>
  <c r="F11" i="38"/>
  <c r="F10" i="38"/>
  <c r="F9" i="38"/>
  <c r="F8" i="38"/>
  <c r="F7" i="38"/>
  <c r="F6" i="38"/>
  <c r="F5" i="38"/>
  <c r="F4" i="38"/>
  <c r="F3" i="38"/>
  <c r="F2" i="38"/>
  <c r="I2" i="38" s="1"/>
  <c r="F47" i="37"/>
  <c r="F46" i="37"/>
  <c r="F45" i="37"/>
  <c r="F44" i="37"/>
  <c r="F43" i="37"/>
  <c r="F42" i="37"/>
  <c r="F41" i="37"/>
  <c r="F40" i="37"/>
  <c r="F39" i="37"/>
  <c r="F38" i="37"/>
  <c r="F37" i="37"/>
  <c r="F36" i="37"/>
  <c r="F35" i="37"/>
  <c r="F34" i="37"/>
  <c r="F33" i="37"/>
  <c r="F32" i="37"/>
  <c r="F31" i="37"/>
  <c r="F30" i="37"/>
  <c r="F29" i="37"/>
  <c r="F28" i="37"/>
  <c r="F27" i="37"/>
  <c r="F26" i="37"/>
  <c r="F25" i="37"/>
  <c r="F24" i="37"/>
  <c r="F23" i="37"/>
  <c r="F22" i="37"/>
  <c r="F21" i="37"/>
  <c r="F20" i="37"/>
  <c r="F19" i="37"/>
  <c r="F18" i="37"/>
  <c r="F17" i="37"/>
  <c r="F16" i="37"/>
  <c r="F15" i="37"/>
  <c r="F14" i="37"/>
  <c r="F13" i="37"/>
  <c r="F12" i="37"/>
  <c r="F11" i="37"/>
  <c r="F10" i="37"/>
  <c r="F9" i="37"/>
  <c r="F8" i="37"/>
  <c r="F7" i="37"/>
  <c r="F6" i="37"/>
  <c r="F5" i="37"/>
  <c r="F4" i="37"/>
  <c r="F3" i="37"/>
  <c r="F2" i="37"/>
  <c r="I2" i="37" s="1"/>
  <c r="F47" i="36"/>
  <c r="F46" i="36"/>
  <c r="F45" i="36"/>
  <c r="F44" i="36"/>
  <c r="F43" i="36"/>
  <c r="F42" i="36"/>
  <c r="F41" i="36"/>
  <c r="F40" i="36"/>
  <c r="F39" i="36"/>
  <c r="F38" i="36"/>
  <c r="F37" i="36"/>
  <c r="F36" i="36"/>
  <c r="F35" i="36"/>
  <c r="F34" i="36"/>
  <c r="F33" i="36"/>
  <c r="F32" i="36"/>
  <c r="F31" i="36"/>
  <c r="F30" i="36"/>
  <c r="F29" i="36"/>
  <c r="F28" i="36"/>
  <c r="F27" i="36"/>
  <c r="F26" i="36"/>
  <c r="F25" i="36"/>
  <c r="F24" i="36"/>
  <c r="F23" i="36"/>
  <c r="F22" i="36"/>
  <c r="F21" i="36"/>
  <c r="F20" i="36"/>
  <c r="F19" i="36"/>
  <c r="F18" i="36"/>
  <c r="F17" i="36"/>
  <c r="F16" i="36"/>
  <c r="F15" i="36"/>
  <c r="F14" i="36"/>
  <c r="F13" i="36"/>
  <c r="F12" i="36"/>
  <c r="F11" i="36"/>
  <c r="F10" i="36"/>
  <c r="F9" i="36"/>
  <c r="F8" i="36"/>
  <c r="F7" i="36"/>
  <c r="F6" i="36"/>
  <c r="F5" i="36"/>
  <c r="F4" i="36"/>
  <c r="F3" i="36"/>
  <c r="F2" i="36"/>
  <c r="I2" i="36" s="1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F13" i="35"/>
  <c r="F12" i="35"/>
  <c r="F11" i="35"/>
  <c r="F10" i="35"/>
  <c r="F9" i="35"/>
  <c r="F8" i="35"/>
  <c r="F7" i="35"/>
  <c r="F6" i="35"/>
  <c r="F5" i="35"/>
  <c r="F4" i="35"/>
  <c r="F3" i="35"/>
  <c r="F2" i="35"/>
  <c r="I2" i="35" s="1"/>
  <c r="F47" i="34"/>
  <c r="F46" i="34"/>
  <c r="F45" i="34"/>
  <c r="F44" i="34"/>
  <c r="F43" i="34"/>
  <c r="F42" i="34"/>
  <c r="F41" i="34"/>
  <c r="F40" i="34"/>
  <c r="F39" i="34"/>
  <c r="F38" i="34"/>
  <c r="F37" i="34"/>
  <c r="F36" i="34"/>
  <c r="F35" i="34"/>
  <c r="F34" i="34"/>
  <c r="F33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/>
  <c r="F15" i="34"/>
  <c r="F14" i="34"/>
  <c r="F13" i="34"/>
  <c r="F12" i="34"/>
  <c r="F11" i="34"/>
  <c r="F10" i="34"/>
  <c r="F9" i="34"/>
  <c r="F8" i="34"/>
  <c r="F7" i="34"/>
  <c r="F6" i="34"/>
  <c r="F5" i="34"/>
  <c r="F4" i="34"/>
  <c r="F3" i="34"/>
  <c r="F2" i="34"/>
  <c r="I2" i="34" s="1"/>
  <c r="F47" i="33"/>
  <c r="F46" i="33"/>
  <c r="F45" i="33"/>
  <c r="F44" i="33"/>
  <c r="F43" i="33"/>
  <c r="F42" i="33"/>
  <c r="F41" i="33"/>
  <c r="F40" i="33"/>
  <c r="F39" i="33"/>
  <c r="F38" i="33"/>
  <c r="F37" i="33"/>
  <c r="F36" i="33"/>
  <c r="F35" i="33"/>
  <c r="F34" i="33"/>
  <c r="F33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F19" i="33"/>
  <c r="F18" i="33"/>
  <c r="F17" i="33"/>
  <c r="F16" i="33"/>
  <c r="F15" i="33"/>
  <c r="F14" i="33"/>
  <c r="F13" i="33"/>
  <c r="F12" i="33"/>
  <c r="F11" i="33"/>
  <c r="F10" i="33"/>
  <c r="F9" i="33"/>
  <c r="F8" i="33"/>
  <c r="F7" i="33"/>
  <c r="F6" i="33"/>
  <c r="F5" i="33"/>
  <c r="F4" i="33"/>
  <c r="F3" i="33"/>
  <c r="F2" i="33"/>
  <c r="I2" i="33" s="1"/>
  <c r="I3" i="33" s="1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5" i="32"/>
  <c r="F4" i="32"/>
  <c r="F3" i="32"/>
  <c r="F2" i="32"/>
  <c r="I2" i="32" s="1"/>
  <c r="F47" i="31"/>
  <c r="F46" i="31"/>
  <c r="F45" i="31"/>
  <c r="F44" i="31"/>
  <c r="F43" i="31"/>
  <c r="F42" i="31"/>
  <c r="F41" i="31"/>
  <c r="F40" i="31"/>
  <c r="F39" i="31"/>
  <c r="F38" i="31"/>
  <c r="F37" i="31"/>
  <c r="F36" i="31"/>
  <c r="F35" i="31"/>
  <c r="F34" i="31"/>
  <c r="F33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/>
  <c r="F15" i="31"/>
  <c r="F14" i="31"/>
  <c r="F13" i="31"/>
  <c r="F12" i="31"/>
  <c r="F11" i="31"/>
  <c r="F10" i="31"/>
  <c r="F9" i="31"/>
  <c r="F8" i="31"/>
  <c r="F7" i="31"/>
  <c r="F6" i="31"/>
  <c r="F5" i="31"/>
  <c r="F4" i="31"/>
  <c r="F3" i="31"/>
  <c r="F2" i="31"/>
  <c r="I2" i="31" s="1"/>
  <c r="I3" i="31" s="1"/>
  <c r="F47" i="30"/>
  <c r="F46" i="30"/>
  <c r="F45" i="30"/>
  <c r="F44" i="30"/>
  <c r="F43" i="30"/>
  <c r="F42" i="30"/>
  <c r="F41" i="30"/>
  <c r="F40" i="30"/>
  <c r="F39" i="30"/>
  <c r="F38" i="30"/>
  <c r="F37" i="30"/>
  <c r="F36" i="30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I2" i="30" s="1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I2" i="29" s="1"/>
  <c r="I3" i="29" s="1"/>
  <c r="F47" i="28"/>
  <c r="F46" i="28"/>
  <c r="F45" i="28"/>
  <c r="F44" i="28"/>
  <c r="F43" i="28"/>
  <c r="F42" i="28"/>
  <c r="F41" i="28"/>
  <c r="F40" i="28"/>
  <c r="F39" i="28"/>
  <c r="F38" i="28"/>
  <c r="F37" i="28"/>
  <c r="F36" i="28"/>
  <c r="F35" i="28"/>
  <c r="F34" i="28"/>
  <c r="F33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I2" i="28" s="1"/>
  <c r="F47" i="27"/>
  <c r="F46" i="27"/>
  <c r="F45" i="27"/>
  <c r="F44" i="27"/>
  <c r="F43" i="27"/>
  <c r="F42" i="27"/>
  <c r="F41" i="27"/>
  <c r="F40" i="27"/>
  <c r="F39" i="27"/>
  <c r="F38" i="27"/>
  <c r="F37" i="27"/>
  <c r="F36" i="27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I2" i="27" s="1"/>
  <c r="F47" i="26"/>
  <c r="F46" i="26"/>
  <c r="F45" i="26"/>
  <c r="F44" i="26"/>
  <c r="F43" i="26"/>
  <c r="F42" i="26"/>
  <c r="F41" i="26"/>
  <c r="F40" i="26"/>
  <c r="F39" i="26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F4" i="26"/>
  <c r="F3" i="26"/>
  <c r="F2" i="26"/>
  <c r="I2" i="26" s="1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I2" i="25" s="1"/>
  <c r="F47" i="24"/>
  <c r="F46" i="24"/>
  <c r="F45" i="24"/>
  <c r="F44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I2" i="24" s="1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F9" i="23"/>
  <c r="F8" i="23"/>
  <c r="F7" i="23"/>
  <c r="F6" i="23"/>
  <c r="F5" i="23"/>
  <c r="F4" i="23"/>
  <c r="F3" i="23"/>
  <c r="F2" i="23"/>
  <c r="I2" i="23" s="1"/>
  <c r="I3" i="23" s="1"/>
  <c r="I4" i="23" s="1"/>
  <c r="F47" i="22"/>
  <c r="F46" i="22"/>
  <c r="F45" i="22"/>
  <c r="F44" i="22"/>
  <c r="F43" i="22"/>
  <c r="F42" i="22"/>
  <c r="F41" i="22"/>
  <c r="F40" i="22"/>
  <c r="F39" i="22"/>
  <c r="F38" i="22"/>
  <c r="F37" i="22"/>
  <c r="F36" i="22"/>
  <c r="F35" i="22"/>
  <c r="F34" i="22"/>
  <c r="F33" i="22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F3" i="22"/>
  <c r="F2" i="22"/>
  <c r="I2" i="22" s="1"/>
  <c r="F47" i="21"/>
  <c r="F46" i="21"/>
  <c r="F45" i="21"/>
  <c r="F44" i="21"/>
  <c r="F43" i="21"/>
  <c r="F42" i="21"/>
  <c r="F41" i="21"/>
  <c r="F40" i="21"/>
  <c r="F39" i="21"/>
  <c r="F38" i="21"/>
  <c r="F37" i="21"/>
  <c r="F3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F7" i="21"/>
  <c r="F6" i="21"/>
  <c r="F5" i="21"/>
  <c r="F4" i="21"/>
  <c r="F3" i="21"/>
  <c r="F2" i="21"/>
  <c r="I2" i="21" s="1"/>
  <c r="I3" i="21" s="1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F13" i="20"/>
  <c r="F12" i="20"/>
  <c r="F11" i="20"/>
  <c r="F10" i="20"/>
  <c r="F9" i="20"/>
  <c r="F8" i="20"/>
  <c r="F7" i="20"/>
  <c r="F6" i="20"/>
  <c r="F5" i="20"/>
  <c r="F4" i="20"/>
  <c r="F3" i="20"/>
  <c r="F2" i="20"/>
  <c r="I2" i="20" s="1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I2" i="19" s="1"/>
  <c r="I3" i="19" s="1"/>
  <c r="I4" i="19" s="1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2" i="18"/>
  <c r="I2" i="18" s="1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2" i="17"/>
  <c r="I2" i="17" s="1"/>
  <c r="I3" i="17" s="1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2" i="16"/>
  <c r="I2" i="16" s="1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2" i="15"/>
  <c r="I2" i="15" s="1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2" i="14"/>
  <c r="I2" i="14" s="1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I2" i="13" s="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2" i="11"/>
  <c r="I2" i="11" s="1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2" i="10"/>
  <c r="I2" i="10" s="1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I2" i="9" s="1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I2" i="8" s="1"/>
  <c r="I3" i="8" s="1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I2" i="7" s="1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I2" i="6" s="1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I2" i="5" s="1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2" i="4"/>
  <c r="I2" i="4" s="1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I2" i="3" s="1"/>
  <c r="I3" i="3" s="1"/>
  <c r="I4" i="3" s="1"/>
  <c r="AB60" i="57" l="1"/>
  <c r="I4" i="29"/>
  <c r="I4" i="45"/>
  <c r="F48" i="55"/>
  <c r="I48" i="55" s="1"/>
  <c r="I2" i="55"/>
  <c r="I3" i="55" s="1"/>
  <c r="I4" i="55" s="1"/>
  <c r="I5" i="55" s="1"/>
  <c r="I6" i="55" s="1"/>
  <c r="I7" i="55" s="1"/>
  <c r="I8" i="55" s="1"/>
  <c r="I9" i="55" s="1"/>
  <c r="I10" i="55" s="1"/>
  <c r="I11" i="55" s="1"/>
  <c r="I12" i="55" s="1"/>
  <c r="I13" i="55" s="1"/>
  <c r="I14" i="55" s="1"/>
  <c r="I15" i="55" s="1"/>
  <c r="I16" i="55" s="1"/>
  <c r="I17" i="55" s="1"/>
  <c r="I18" i="55" s="1"/>
  <c r="I19" i="55" s="1"/>
  <c r="I20" i="55" s="1"/>
  <c r="I21" i="55" s="1"/>
  <c r="I22" i="55" s="1"/>
  <c r="I23" i="55" s="1"/>
  <c r="I24" i="55" s="1"/>
  <c r="I25" i="55" s="1"/>
  <c r="I26" i="55" s="1"/>
  <c r="I27" i="55" s="1"/>
  <c r="I28" i="55" s="1"/>
  <c r="I29" i="55" s="1"/>
  <c r="I30" i="55" s="1"/>
  <c r="I31" i="55" s="1"/>
  <c r="I32" i="55" s="1"/>
  <c r="I33" i="55" s="1"/>
  <c r="I34" i="55" s="1"/>
  <c r="I35" i="55" s="1"/>
  <c r="I36" i="55" s="1"/>
  <c r="I37" i="55" s="1"/>
  <c r="I38" i="55" s="1"/>
  <c r="I39" i="55" s="1"/>
  <c r="I40" i="55" s="1"/>
  <c r="I41" i="55" s="1"/>
  <c r="I42" i="55" s="1"/>
  <c r="I43" i="55" s="1"/>
  <c r="I44" i="55" s="1"/>
  <c r="I45" i="55" s="1"/>
  <c r="I46" i="55" s="1"/>
  <c r="I47" i="55" s="1"/>
  <c r="F52" i="54"/>
  <c r="I52" i="54" s="1"/>
  <c r="I2" i="54"/>
  <c r="I3" i="54" s="1"/>
  <c r="I4" i="54" s="1"/>
  <c r="I5" i="54" s="1"/>
  <c r="I6" i="54" s="1"/>
  <c r="I7" i="54" s="1"/>
  <c r="I8" i="54" s="1"/>
  <c r="I9" i="54" s="1"/>
  <c r="I10" i="54" s="1"/>
  <c r="I11" i="54" s="1"/>
  <c r="I12" i="54" s="1"/>
  <c r="I13" i="54" s="1"/>
  <c r="I14" i="54" s="1"/>
  <c r="I15" i="54" s="1"/>
  <c r="I16" i="54" s="1"/>
  <c r="I17" i="54" s="1"/>
  <c r="I18" i="54" s="1"/>
  <c r="I19" i="54" s="1"/>
  <c r="I20" i="54" s="1"/>
  <c r="I21" i="54" s="1"/>
  <c r="I22" i="54" s="1"/>
  <c r="I23" i="54" s="1"/>
  <c r="I24" i="54" s="1"/>
  <c r="I25" i="54" s="1"/>
  <c r="I26" i="54" s="1"/>
  <c r="I27" i="54" s="1"/>
  <c r="I28" i="54" s="1"/>
  <c r="I29" i="54" s="1"/>
  <c r="I30" i="54" s="1"/>
  <c r="I31" i="54" s="1"/>
  <c r="I32" i="54" s="1"/>
  <c r="I33" i="54" s="1"/>
  <c r="I34" i="54" s="1"/>
  <c r="I35" i="54" s="1"/>
  <c r="I36" i="54" s="1"/>
  <c r="I37" i="54" s="1"/>
  <c r="I38" i="54" s="1"/>
  <c r="I39" i="54" s="1"/>
  <c r="I40" i="54" s="1"/>
  <c r="I41" i="54" s="1"/>
  <c r="I42" i="54" s="1"/>
  <c r="I43" i="54" s="1"/>
  <c r="I44" i="54" s="1"/>
  <c r="I45" i="54" s="1"/>
  <c r="I46" i="54" s="1"/>
  <c r="I47" i="54" s="1"/>
  <c r="I48" i="54" s="1"/>
  <c r="I49" i="54" s="1"/>
  <c r="I50" i="54" s="1"/>
  <c r="I51" i="54" s="1"/>
  <c r="I4" i="17"/>
  <c r="I3" i="52"/>
  <c r="F48" i="52"/>
  <c r="I48" i="52" s="1"/>
  <c r="I3" i="4"/>
  <c r="I4" i="4" s="1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3" i="9"/>
  <c r="I3" i="10"/>
  <c r="I4" i="10" s="1"/>
  <c r="I5" i="10" s="1"/>
  <c r="I6" i="10" s="1"/>
  <c r="I3" i="11"/>
  <c r="I4" i="11" s="1"/>
  <c r="I5" i="11" s="1"/>
  <c r="I6" i="11" s="1"/>
  <c r="I7" i="11" s="1"/>
  <c r="I8" i="11" s="1"/>
  <c r="I9" i="11" s="1"/>
  <c r="I10" i="11" s="1"/>
  <c r="I11" i="11" s="1"/>
  <c r="I12" i="11" s="1"/>
  <c r="I13" i="11" s="1"/>
  <c r="I14" i="11" s="1"/>
  <c r="I15" i="11" s="1"/>
  <c r="I16" i="11" s="1"/>
  <c r="I17" i="11" s="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45" i="11" s="1"/>
  <c r="I46" i="11" s="1"/>
  <c r="I47" i="11" s="1"/>
  <c r="I3" i="16"/>
  <c r="I3" i="20"/>
  <c r="I4" i="20" s="1"/>
  <c r="I5" i="20" s="1"/>
  <c r="I6" i="20" s="1"/>
  <c r="I7" i="20" s="1"/>
  <c r="I8" i="20" s="1"/>
  <c r="I9" i="20" s="1"/>
  <c r="I10" i="20" s="1"/>
  <c r="I11" i="20" s="1"/>
  <c r="I12" i="20" s="1"/>
  <c r="I13" i="20" s="1"/>
  <c r="I14" i="20" s="1"/>
  <c r="I15" i="20" s="1"/>
  <c r="I16" i="20" s="1"/>
  <c r="I17" i="20" s="1"/>
  <c r="I18" i="20" s="1"/>
  <c r="I19" i="20" s="1"/>
  <c r="I20" i="20" s="1"/>
  <c r="I21" i="20" s="1"/>
  <c r="I22" i="20" s="1"/>
  <c r="I23" i="20" s="1"/>
  <c r="I24" i="20" s="1"/>
  <c r="I25" i="20" s="1"/>
  <c r="I26" i="20" s="1"/>
  <c r="I27" i="20" s="1"/>
  <c r="I28" i="20" s="1"/>
  <c r="I29" i="20" s="1"/>
  <c r="I30" i="20" s="1"/>
  <c r="I31" i="20" s="1"/>
  <c r="I32" i="20" s="1"/>
  <c r="I33" i="20" s="1"/>
  <c r="I34" i="20" s="1"/>
  <c r="I35" i="20" s="1"/>
  <c r="I36" i="20" s="1"/>
  <c r="I37" i="20" s="1"/>
  <c r="I38" i="20" s="1"/>
  <c r="I39" i="20" s="1"/>
  <c r="I40" i="20" s="1"/>
  <c r="I41" i="20" s="1"/>
  <c r="I42" i="20" s="1"/>
  <c r="I43" i="20" s="1"/>
  <c r="I44" i="20" s="1"/>
  <c r="I45" i="20" s="1"/>
  <c r="I46" i="20" s="1"/>
  <c r="I47" i="20" s="1"/>
  <c r="I3" i="24"/>
  <c r="I4" i="24" s="1"/>
  <c r="I5" i="24" s="1"/>
  <c r="I6" i="24" s="1"/>
  <c r="I7" i="24" s="1"/>
  <c r="I8" i="24" s="1"/>
  <c r="I9" i="24" s="1"/>
  <c r="I10" i="24" s="1"/>
  <c r="I11" i="24" s="1"/>
  <c r="I12" i="24" s="1"/>
  <c r="I13" i="24" s="1"/>
  <c r="I14" i="24" s="1"/>
  <c r="I15" i="24" s="1"/>
  <c r="I16" i="24" s="1"/>
  <c r="I17" i="24" s="1"/>
  <c r="I18" i="24" s="1"/>
  <c r="I19" i="24" s="1"/>
  <c r="I20" i="24" s="1"/>
  <c r="I21" i="24" s="1"/>
  <c r="I22" i="24" s="1"/>
  <c r="I23" i="24" s="1"/>
  <c r="I24" i="24" s="1"/>
  <c r="I25" i="24" s="1"/>
  <c r="I26" i="24" s="1"/>
  <c r="I27" i="24" s="1"/>
  <c r="I28" i="24" s="1"/>
  <c r="I29" i="24" s="1"/>
  <c r="I30" i="24" s="1"/>
  <c r="I31" i="24" s="1"/>
  <c r="I32" i="24" s="1"/>
  <c r="I33" i="24" s="1"/>
  <c r="I34" i="24" s="1"/>
  <c r="I35" i="24" s="1"/>
  <c r="I36" i="24" s="1"/>
  <c r="I37" i="24" s="1"/>
  <c r="I38" i="24" s="1"/>
  <c r="I39" i="24" s="1"/>
  <c r="I40" i="24" s="1"/>
  <c r="I41" i="24" s="1"/>
  <c r="I42" i="24" s="1"/>
  <c r="I43" i="24" s="1"/>
  <c r="I44" i="24" s="1"/>
  <c r="I45" i="24" s="1"/>
  <c r="I46" i="24" s="1"/>
  <c r="I47" i="24" s="1"/>
  <c r="I3" i="28"/>
  <c r="I4" i="28" s="1"/>
  <c r="I5" i="28" s="1"/>
  <c r="I6" i="28" s="1"/>
  <c r="I7" i="28" s="1"/>
  <c r="I8" i="28" s="1"/>
  <c r="I9" i="28" s="1"/>
  <c r="I10" i="28" s="1"/>
  <c r="I11" i="28" s="1"/>
  <c r="I12" i="28" s="1"/>
  <c r="I13" i="28" s="1"/>
  <c r="I14" i="28" s="1"/>
  <c r="I15" i="28" s="1"/>
  <c r="I16" i="28" s="1"/>
  <c r="I17" i="28" s="1"/>
  <c r="I18" i="28" s="1"/>
  <c r="I19" i="28" s="1"/>
  <c r="I20" i="28" s="1"/>
  <c r="I21" i="28" s="1"/>
  <c r="I22" i="28" s="1"/>
  <c r="I23" i="28" s="1"/>
  <c r="I24" i="28" s="1"/>
  <c r="I25" i="28" s="1"/>
  <c r="I26" i="28" s="1"/>
  <c r="I27" i="28" s="1"/>
  <c r="I28" i="28" s="1"/>
  <c r="I29" i="28" s="1"/>
  <c r="I30" i="28" s="1"/>
  <c r="I31" i="28" s="1"/>
  <c r="I32" i="28" s="1"/>
  <c r="I33" i="28" s="1"/>
  <c r="I34" i="28" s="1"/>
  <c r="I35" i="28" s="1"/>
  <c r="I36" i="28" s="1"/>
  <c r="I37" i="28" s="1"/>
  <c r="I38" i="28" s="1"/>
  <c r="I39" i="28" s="1"/>
  <c r="I40" i="28" s="1"/>
  <c r="I41" i="28" s="1"/>
  <c r="I42" i="28" s="1"/>
  <c r="I43" i="28" s="1"/>
  <c r="I44" i="28" s="1"/>
  <c r="I45" i="28" s="1"/>
  <c r="I46" i="28" s="1"/>
  <c r="I47" i="28" s="1"/>
  <c r="I3" i="32"/>
  <c r="I4" i="32" s="1"/>
  <c r="I3" i="36"/>
  <c r="I4" i="36" s="1"/>
  <c r="I5" i="36" s="1"/>
  <c r="I6" i="36" s="1"/>
  <c r="I7" i="36" s="1"/>
  <c r="I8" i="36" s="1"/>
  <c r="I9" i="36" s="1"/>
  <c r="I10" i="36" s="1"/>
  <c r="I11" i="36" s="1"/>
  <c r="I12" i="36" s="1"/>
  <c r="I13" i="36" s="1"/>
  <c r="I14" i="36" s="1"/>
  <c r="I15" i="36" s="1"/>
  <c r="I16" i="36" s="1"/>
  <c r="I17" i="36" s="1"/>
  <c r="I18" i="36" s="1"/>
  <c r="I19" i="36" s="1"/>
  <c r="I20" i="36" s="1"/>
  <c r="I21" i="36" s="1"/>
  <c r="I22" i="36" s="1"/>
  <c r="I23" i="36" s="1"/>
  <c r="I24" i="36" s="1"/>
  <c r="I25" i="36" s="1"/>
  <c r="I26" i="36" s="1"/>
  <c r="I27" i="36" s="1"/>
  <c r="I28" i="36" s="1"/>
  <c r="I29" i="36" s="1"/>
  <c r="I30" i="36" s="1"/>
  <c r="I31" i="36" s="1"/>
  <c r="I32" i="36" s="1"/>
  <c r="I33" i="36" s="1"/>
  <c r="I34" i="36" s="1"/>
  <c r="I35" i="36" s="1"/>
  <c r="I36" i="36" s="1"/>
  <c r="I37" i="36" s="1"/>
  <c r="I38" i="36" s="1"/>
  <c r="I39" i="36" s="1"/>
  <c r="I40" i="36" s="1"/>
  <c r="I41" i="36" s="1"/>
  <c r="I42" i="36" s="1"/>
  <c r="I43" i="36" s="1"/>
  <c r="I44" i="36" s="1"/>
  <c r="I45" i="36" s="1"/>
  <c r="I46" i="36" s="1"/>
  <c r="I47" i="36" s="1"/>
  <c r="I3" i="48"/>
  <c r="I4" i="48" s="1"/>
  <c r="I5" i="48" s="1"/>
  <c r="I6" i="48" s="1"/>
  <c r="I7" i="48" s="1"/>
  <c r="I8" i="48" s="1"/>
  <c r="I9" i="48" s="1"/>
  <c r="I10" i="48" s="1"/>
  <c r="I11" i="48" s="1"/>
  <c r="I12" i="48" s="1"/>
  <c r="I13" i="48" s="1"/>
  <c r="I14" i="48" s="1"/>
  <c r="I15" i="48" s="1"/>
  <c r="I16" i="48" s="1"/>
  <c r="I17" i="48" s="1"/>
  <c r="I18" i="48" s="1"/>
  <c r="I19" i="48" s="1"/>
  <c r="I20" i="48" s="1"/>
  <c r="I21" i="48" s="1"/>
  <c r="I22" i="48" s="1"/>
  <c r="I23" i="48" s="1"/>
  <c r="I24" i="48" s="1"/>
  <c r="I25" i="48" s="1"/>
  <c r="I26" i="48" s="1"/>
  <c r="I27" i="48" s="1"/>
  <c r="I28" i="48" s="1"/>
  <c r="I29" i="48" s="1"/>
  <c r="I30" i="48" s="1"/>
  <c r="I31" i="48" s="1"/>
  <c r="I32" i="48" s="1"/>
  <c r="I33" i="48" s="1"/>
  <c r="I34" i="48" s="1"/>
  <c r="I35" i="48" s="1"/>
  <c r="I36" i="48" s="1"/>
  <c r="I37" i="48" s="1"/>
  <c r="I38" i="48" s="1"/>
  <c r="I39" i="48" s="1"/>
  <c r="I40" i="48" s="1"/>
  <c r="I41" i="48" s="1"/>
  <c r="I42" i="48" s="1"/>
  <c r="I43" i="48" s="1"/>
  <c r="I44" i="48" s="1"/>
  <c r="I45" i="48" s="1"/>
  <c r="I46" i="48" s="1"/>
  <c r="I47" i="48" s="1"/>
  <c r="I3" i="47"/>
  <c r="I4" i="47" s="1"/>
  <c r="I3" i="7"/>
  <c r="I4" i="7" s="1"/>
  <c r="I5" i="7" s="1"/>
  <c r="I6" i="7" s="1"/>
  <c r="I7" i="7" s="1"/>
  <c r="I8" i="7" s="1"/>
  <c r="I9" i="7" s="1"/>
  <c r="I10" i="7" s="1"/>
  <c r="I11" i="7" s="1"/>
  <c r="I12" i="7" s="1"/>
  <c r="I13" i="7" s="1"/>
  <c r="I14" i="7" s="1"/>
  <c r="I15" i="7" s="1"/>
  <c r="I16" i="7" s="1"/>
  <c r="I17" i="7" s="1"/>
  <c r="I18" i="7" s="1"/>
  <c r="I19" i="7" s="1"/>
  <c r="I20" i="7" s="1"/>
  <c r="I21" i="7" s="1"/>
  <c r="I22" i="7" s="1"/>
  <c r="I23" i="7" s="1"/>
  <c r="I24" i="7" s="1"/>
  <c r="I25" i="7" s="1"/>
  <c r="I26" i="7" s="1"/>
  <c r="I27" i="7" s="1"/>
  <c r="I28" i="7" s="1"/>
  <c r="I29" i="7" s="1"/>
  <c r="I30" i="7" s="1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F48" i="19"/>
  <c r="I48" i="19" s="1"/>
  <c r="F48" i="39"/>
  <c r="I48" i="39" s="1"/>
  <c r="F49" i="44"/>
  <c r="I49" i="44" s="1"/>
  <c r="F48" i="46"/>
  <c r="I48" i="46" s="1"/>
  <c r="I5" i="3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I23" i="19" s="1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F50" i="10"/>
  <c r="I50" i="10" s="1"/>
  <c r="F48" i="4"/>
  <c r="I48" i="4" s="1"/>
  <c r="F48" i="18"/>
  <c r="I48" i="18" s="1"/>
  <c r="F48" i="25"/>
  <c r="I48" i="25" s="1"/>
  <c r="F48" i="8"/>
  <c r="I48" i="8" s="1"/>
  <c r="F48" i="27"/>
  <c r="I48" i="27" s="1"/>
  <c r="F48" i="50"/>
  <c r="I48" i="50" s="1"/>
  <c r="I3" i="6"/>
  <c r="I3" i="14"/>
  <c r="I4" i="14" s="1"/>
  <c r="I5" i="14" s="1"/>
  <c r="I6" i="14" s="1"/>
  <c r="I7" i="14" s="1"/>
  <c r="I8" i="14" s="1"/>
  <c r="I9" i="14" s="1"/>
  <c r="I10" i="14" s="1"/>
  <c r="I11" i="14" s="1"/>
  <c r="I12" i="14" s="1"/>
  <c r="I13" i="14" s="1"/>
  <c r="I14" i="14" s="1"/>
  <c r="I15" i="14" s="1"/>
  <c r="I16" i="14" s="1"/>
  <c r="I17" i="14" s="1"/>
  <c r="I18" i="14" s="1"/>
  <c r="I19" i="14" s="1"/>
  <c r="I20" i="14" s="1"/>
  <c r="I21" i="14" s="1"/>
  <c r="I22" i="14" s="1"/>
  <c r="I23" i="14" s="1"/>
  <c r="I24" i="14" s="1"/>
  <c r="I25" i="14" s="1"/>
  <c r="I26" i="14" s="1"/>
  <c r="I27" i="14" s="1"/>
  <c r="I28" i="14" s="1"/>
  <c r="I29" i="14" s="1"/>
  <c r="I30" i="14" s="1"/>
  <c r="I31" i="14" s="1"/>
  <c r="I32" i="14" s="1"/>
  <c r="I33" i="14" s="1"/>
  <c r="I34" i="14" s="1"/>
  <c r="I35" i="14" s="1"/>
  <c r="I36" i="14" s="1"/>
  <c r="I37" i="14" s="1"/>
  <c r="I38" i="14" s="1"/>
  <c r="I39" i="14" s="1"/>
  <c r="I40" i="14" s="1"/>
  <c r="I41" i="14" s="1"/>
  <c r="I42" i="14" s="1"/>
  <c r="I43" i="14" s="1"/>
  <c r="I44" i="14" s="1"/>
  <c r="I45" i="14" s="1"/>
  <c r="I46" i="14" s="1"/>
  <c r="I47" i="14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I18" i="18" s="1"/>
  <c r="I19" i="18" s="1"/>
  <c r="I20" i="18" s="1"/>
  <c r="I21" i="18" s="1"/>
  <c r="I22" i="18" s="1"/>
  <c r="I23" i="18" s="1"/>
  <c r="I24" i="18" s="1"/>
  <c r="I25" i="18" s="1"/>
  <c r="I26" i="18" s="1"/>
  <c r="I27" i="18" s="1"/>
  <c r="I28" i="18" s="1"/>
  <c r="I29" i="18" s="1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3" i="26"/>
  <c r="I4" i="26" s="1"/>
  <c r="I5" i="26" s="1"/>
  <c r="I6" i="26" s="1"/>
  <c r="I7" i="26" s="1"/>
  <c r="I8" i="26" s="1"/>
  <c r="I9" i="26" s="1"/>
  <c r="I10" i="26" s="1"/>
  <c r="I11" i="26" s="1"/>
  <c r="I12" i="26" s="1"/>
  <c r="I13" i="26" s="1"/>
  <c r="I14" i="26" s="1"/>
  <c r="I15" i="26" s="1"/>
  <c r="I16" i="26" s="1"/>
  <c r="I17" i="26" s="1"/>
  <c r="I18" i="26" s="1"/>
  <c r="I19" i="26" s="1"/>
  <c r="I20" i="26" s="1"/>
  <c r="I21" i="26" s="1"/>
  <c r="I22" i="26" s="1"/>
  <c r="I23" i="26" s="1"/>
  <c r="I24" i="26" s="1"/>
  <c r="I25" i="26" s="1"/>
  <c r="I26" i="26" s="1"/>
  <c r="I27" i="26" s="1"/>
  <c r="I28" i="26" s="1"/>
  <c r="I29" i="26" s="1"/>
  <c r="I30" i="26" s="1"/>
  <c r="I31" i="26" s="1"/>
  <c r="I32" i="26" s="1"/>
  <c r="I33" i="26" s="1"/>
  <c r="I34" i="26" s="1"/>
  <c r="I35" i="26" s="1"/>
  <c r="I36" i="26" s="1"/>
  <c r="I37" i="26" s="1"/>
  <c r="I38" i="26" s="1"/>
  <c r="I39" i="26" s="1"/>
  <c r="I40" i="26" s="1"/>
  <c r="I41" i="26" s="1"/>
  <c r="I42" i="26" s="1"/>
  <c r="I43" i="26" s="1"/>
  <c r="I44" i="26" s="1"/>
  <c r="I45" i="26" s="1"/>
  <c r="I46" i="26" s="1"/>
  <c r="I47" i="26" s="1"/>
  <c r="I3" i="46"/>
  <c r="I4" i="46" s="1"/>
  <c r="I5" i="46" s="1"/>
  <c r="I6" i="46" s="1"/>
  <c r="I7" i="46" s="1"/>
  <c r="I8" i="46" s="1"/>
  <c r="I9" i="46" s="1"/>
  <c r="I10" i="46" s="1"/>
  <c r="I11" i="46" s="1"/>
  <c r="I12" i="46" s="1"/>
  <c r="I13" i="46" s="1"/>
  <c r="I14" i="46" s="1"/>
  <c r="I15" i="46" s="1"/>
  <c r="I16" i="46" s="1"/>
  <c r="I17" i="46" s="1"/>
  <c r="I18" i="46" s="1"/>
  <c r="I19" i="46" s="1"/>
  <c r="I20" i="46" s="1"/>
  <c r="I21" i="46" s="1"/>
  <c r="I22" i="46" s="1"/>
  <c r="I23" i="46" s="1"/>
  <c r="I24" i="46" s="1"/>
  <c r="I25" i="46" s="1"/>
  <c r="I26" i="46" s="1"/>
  <c r="I27" i="46" s="1"/>
  <c r="I28" i="46" s="1"/>
  <c r="I29" i="46" s="1"/>
  <c r="I30" i="46" s="1"/>
  <c r="I31" i="46" s="1"/>
  <c r="I32" i="46" s="1"/>
  <c r="I33" i="46" s="1"/>
  <c r="I34" i="46" s="1"/>
  <c r="I35" i="46" s="1"/>
  <c r="I36" i="46" s="1"/>
  <c r="I37" i="46" s="1"/>
  <c r="I38" i="46" s="1"/>
  <c r="I39" i="46" s="1"/>
  <c r="I40" i="46" s="1"/>
  <c r="I41" i="46" s="1"/>
  <c r="I42" i="46" s="1"/>
  <c r="I43" i="46" s="1"/>
  <c r="I44" i="46" s="1"/>
  <c r="I45" i="46" s="1"/>
  <c r="I46" i="46" s="1"/>
  <c r="I47" i="46" s="1"/>
  <c r="I3" i="50"/>
  <c r="I4" i="50" s="1"/>
  <c r="I5" i="50" s="1"/>
  <c r="I6" i="50" s="1"/>
  <c r="I7" i="50" s="1"/>
  <c r="I8" i="50" s="1"/>
  <c r="I9" i="50" s="1"/>
  <c r="I10" i="50" s="1"/>
  <c r="I11" i="50" s="1"/>
  <c r="I12" i="50" s="1"/>
  <c r="I13" i="50" s="1"/>
  <c r="I14" i="50" s="1"/>
  <c r="I15" i="50" s="1"/>
  <c r="I16" i="50" s="1"/>
  <c r="I17" i="50" s="1"/>
  <c r="I18" i="50" s="1"/>
  <c r="I19" i="50" s="1"/>
  <c r="I20" i="50" s="1"/>
  <c r="I21" i="50" s="1"/>
  <c r="I22" i="50" s="1"/>
  <c r="I23" i="50" s="1"/>
  <c r="I24" i="50" s="1"/>
  <c r="I25" i="50" s="1"/>
  <c r="I26" i="50" s="1"/>
  <c r="I27" i="50" s="1"/>
  <c r="I28" i="50" s="1"/>
  <c r="I29" i="50" s="1"/>
  <c r="I30" i="50" s="1"/>
  <c r="I31" i="50" s="1"/>
  <c r="I32" i="50" s="1"/>
  <c r="I33" i="50" s="1"/>
  <c r="I34" i="50" s="1"/>
  <c r="I35" i="50" s="1"/>
  <c r="I36" i="50" s="1"/>
  <c r="I37" i="50" s="1"/>
  <c r="I38" i="50" s="1"/>
  <c r="I39" i="50" s="1"/>
  <c r="I40" i="50" s="1"/>
  <c r="I41" i="50" s="1"/>
  <c r="I42" i="50" s="1"/>
  <c r="I43" i="50" s="1"/>
  <c r="I44" i="50" s="1"/>
  <c r="I45" i="50" s="1"/>
  <c r="I46" i="50" s="1"/>
  <c r="I47" i="50" s="1"/>
  <c r="F48" i="22"/>
  <c r="I48" i="22" s="1"/>
  <c r="F48" i="40"/>
  <c r="I48" i="40" s="1"/>
  <c r="F48" i="47"/>
  <c r="I48" i="47" s="1"/>
  <c r="F48" i="51"/>
  <c r="I48" i="51" s="1"/>
  <c r="F48" i="34"/>
  <c r="I48" i="34" s="1"/>
  <c r="F50" i="9"/>
  <c r="I50" i="9" s="1"/>
  <c r="F48" i="24"/>
  <c r="I48" i="24" s="1"/>
  <c r="F48" i="48"/>
  <c r="I48" i="48" s="1"/>
  <c r="I7" i="10"/>
  <c r="I8" i="10" s="1"/>
  <c r="I9" i="10" s="1"/>
  <c r="I10" i="10" s="1"/>
  <c r="I11" i="10" s="1"/>
  <c r="I12" i="10" s="1"/>
  <c r="I13" i="10" s="1"/>
  <c r="I14" i="10" s="1"/>
  <c r="I15" i="10" s="1"/>
  <c r="I16" i="10" s="1"/>
  <c r="I17" i="10" s="1"/>
  <c r="I18" i="10" s="1"/>
  <c r="I19" i="10" s="1"/>
  <c r="I20" i="10" s="1"/>
  <c r="I21" i="10" s="1"/>
  <c r="I22" i="10" s="1"/>
  <c r="I23" i="10" s="1"/>
  <c r="I24" i="10" s="1"/>
  <c r="I25" i="10" s="1"/>
  <c r="I26" i="10" s="1"/>
  <c r="I27" i="10" s="1"/>
  <c r="I28" i="10" s="1"/>
  <c r="I29" i="10" s="1"/>
  <c r="I30" i="10" s="1"/>
  <c r="I31" i="10" s="1"/>
  <c r="I32" i="10" s="1"/>
  <c r="I33" i="10" s="1"/>
  <c r="I34" i="10" s="1"/>
  <c r="I35" i="10" s="1"/>
  <c r="I36" i="10" s="1"/>
  <c r="I37" i="10" s="1"/>
  <c r="I38" i="10" s="1"/>
  <c r="I39" i="10" s="1"/>
  <c r="I40" i="10" s="1"/>
  <c r="I41" i="10" s="1"/>
  <c r="I42" i="10" s="1"/>
  <c r="I43" i="10" s="1"/>
  <c r="I44" i="10" s="1"/>
  <c r="I45" i="10" s="1"/>
  <c r="I46" i="10" s="1"/>
  <c r="I47" i="10" s="1"/>
  <c r="I48" i="10" s="1"/>
  <c r="I49" i="10" s="1"/>
  <c r="I3" i="51"/>
  <c r="I4" i="51" s="1"/>
  <c r="I5" i="51" s="1"/>
  <c r="I6" i="51" s="1"/>
  <c r="I7" i="51" s="1"/>
  <c r="I8" i="51" s="1"/>
  <c r="I9" i="51" s="1"/>
  <c r="I10" i="51" s="1"/>
  <c r="I11" i="51" s="1"/>
  <c r="I12" i="51" s="1"/>
  <c r="I13" i="51" s="1"/>
  <c r="I14" i="51" s="1"/>
  <c r="I15" i="51" s="1"/>
  <c r="I16" i="51" s="1"/>
  <c r="I17" i="51" s="1"/>
  <c r="I18" i="51" s="1"/>
  <c r="I19" i="51" s="1"/>
  <c r="I20" i="51" s="1"/>
  <c r="I21" i="51" s="1"/>
  <c r="I22" i="51" s="1"/>
  <c r="I23" i="51" s="1"/>
  <c r="I24" i="51" s="1"/>
  <c r="I25" i="51" s="1"/>
  <c r="I26" i="51" s="1"/>
  <c r="I27" i="51" s="1"/>
  <c r="I28" i="51" s="1"/>
  <c r="I29" i="51" s="1"/>
  <c r="I30" i="51" s="1"/>
  <c r="I31" i="51" s="1"/>
  <c r="I32" i="51" s="1"/>
  <c r="I33" i="51" s="1"/>
  <c r="I34" i="51" s="1"/>
  <c r="I35" i="51" s="1"/>
  <c r="I36" i="51" s="1"/>
  <c r="I37" i="51" s="1"/>
  <c r="I38" i="51" s="1"/>
  <c r="I39" i="51" s="1"/>
  <c r="I40" i="51" s="1"/>
  <c r="I41" i="51" s="1"/>
  <c r="I42" i="51" s="1"/>
  <c r="I43" i="51" s="1"/>
  <c r="I44" i="51" s="1"/>
  <c r="I45" i="51" s="1"/>
  <c r="I46" i="51" s="1"/>
  <c r="I47" i="51" s="1"/>
  <c r="F48" i="49"/>
  <c r="I48" i="49" s="1"/>
  <c r="I3" i="49"/>
  <c r="I4" i="49" s="1"/>
  <c r="I6" i="49" s="1"/>
  <c r="I5" i="49" s="1"/>
  <c r="I7" i="49" s="1"/>
  <c r="I8" i="49" s="1"/>
  <c r="I10" i="49" s="1"/>
  <c r="I9" i="49" s="1"/>
  <c r="I11" i="49" s="1"/>
  <c r="I12" i="49" s="1"/>
  <c r="I13" i="49" s="1"/>
  <c r="I14" i="49" s="1"/>
  <c r="I15" i="49" s="1"/>
  <c r="I16" i="49" s="1"/>
  <c r="I17" i="49" s="1"/>
  <c r="I18" i="49" s="1"/>
  <c r="I19" i="49" s="1"/>
  <c r="I20" i="49" s="1"/>
  <c r="I21" i="49" s="1"/>
  <c r="I22" i="49" s="1"/>
  <c r="I23" i="49" s="1"/>
  <c r="I24" i="49" s="1"/>
  <c r="I25" i="49" s="1"/>
  <c r="I26" i="49" s="1"/>
  <c r="I27" i="49" s="1"/>
  <c r="I28" i="49" s="1"/>
  <c r="I29" i="49" s="1"/>
  <c r="I30" i="49" s="1"/>
  <c r="I31" i="49" s="1"/>
  <c r="I32" i="49" s="1"/>
  <c r="I33" i="49" s="1"/>
  <c r="I34" i="49" s="1"/>
  <c r="I35" i="49" s="1"/>
  <c r="I36" i="49" s="1"/>
  <c r="I37" i="49" s="1"/>
  <c r="I38" i="49" s="1"/>
  <c r="I39" i="49" s="1"/>
  <c r="I40" i="49" s="1"/>
  <c r="I41" i="49" s="1"/>
  <c r="I42" i="49" s="1"/>
  <c r="I43" i="49" s="1"/>
  <c r="I44" i="49" s="1"/>
  <c r="I45" i="49" s="1"/>
  <c r="I46" i="49" s="1"/>
  <c r="I47" i="49" s="1"/>
  <c r="I5" i="47"/>
  <c r="I6" i="47" s="1"/>
  <c r="I7" i="47" s="1"/>
  <c r="I8" i="47" s="1"/>
  <c r="I9" i="47" s="1"/>
  <c r="I10" i="47" s="1"/>
  <c r="I11" i="47" s="1"/>
  <c r="I12" i="47" s="1"/>
  <c r="I13" i="47" s="1"/>
  <c r="I14" i="47" s="1"/>
  <c r="I15" i="47" s="1"/>
  <c r="I16" i="47" s="1"/>
  <c r="I17" i="47" s="1"/>
  <c r="I18" i="47" s="1"/>
  <c r="I19" i="47" s="1"/>
  <c r="I20" i="47" s="1"/>
  <c r="I21" i="47" s="1"/>
  <c r="I22" i="47" s="1"/>
  <c r="I23" i="47" s="1"/>
  <c r="I24" i="47" s="1"/>
  <c r="I25" i="47" s="1"/>
  <c r="I26" i="47" s="1"/>
  <c r="I27" i="47" s="1"/>
  <c r="I28" i="47" s="1"/>
  <c r="I29" i="47" s="1"/>
  <c r="I30" i="47" s="1"/>
  <c r="I31" i="47" s="1"/>
  <c r="I32" i="47" s="1"/>
  <c r="I33" i="47" s="1"/>
  <c r="I34" i="47" s="1"/>
  <c r="I35" i="47" s="1"/>
  <c r="I36" i="47" s="1"/>
  <c r="I37" i="47" s="1"/>
  <c r="I38" i="47" s="1"/>
  <c r="I39" i="47" s="1"/>
  <c r="I40" i="47" s="1"/>
  <c r="I41" i="47" s="1"/>
  <c r="I42" i="47" s="1"/>
  <c r="I43" i="47" s="1"/>
  <c r="I44" i="47" s="1"/>
  <c r="I45" i="47" s="1"/>
  <c r="I46" i="47" s="1"/>
  <c r="I47" i="47" s="1"/>
  <c r="F48" i="45"/>
  <c r="I5" i="45"/>
  <c r="I6" i="45" s="1"/>
  <c r="I7" i="45" s="1"/>
  <c r="I8" i="45" s="1"/>
  <c r="I9" i="45" s="1"/>
  <c r="I10" i="45" s="1"/>
  <c r="I11" i="45" s="1"/>
  <c r="I12" i="45" s="1"/>
  <c r="I13" i="45" s="1"/>
  <c r="I14" i="45" s="1"/>
  <c r="I15" i="45" s="1"/>
  <c r="I16" i="45" s="1"/>
  <c r="I17" i="45" s="1"/>
  <c r="I18" i="45" s="1"/>
  <c r="I19" i="45" s="1"/>
  <c r="I20" i="45" s="1"/>
  <c r="I21" i="45" s="1"/>
  <c r="I22" i="45" s="1"/>
  <c r="I23" i="45" s="1"/>
  <c r="I24" i="45" s="1"/>
  <c r="I25" i="45" s="1"/>
  <c r="I26" i="45" s="1"/>
  <c r="I27" i="45" s="1"/>
  <c r="I28" i="45" s="1"/>
  <c r="I29" i="45" s="1"/>
  <c r="I30" i="45" s="1"/>
  <c r="I31" i="45" s="1"/>
  <c r="I32" i="45" s="1"/>
  <c r="I33" i="45" s="1"/>
  <c r="I34" i="45" s="1"/>
  <c r="I35" i="45" s="1"/>
  <c r="I36" i="45" s="1"/>
  <c r="I37" i="45" s="1"/>
  <c r="I38" i="45" s="1"/>
  <c r="I39" i="45" s="1"/>
  <c r="I40" i="45" s="1"/>
  <c r="I41" i="45" s="1"/>
  <c r="I42" i="45" s="1"/>
  <c r="I43" i="45" s="1"/>
  <c r="I44" i="45" s="1"/>
  <c r="I45" i="45" s="1"/>
  <c r="I46" i="45" s="1"/>
  <c r="I47" i="45" s="1"/>
  <c r="I3" i="44"/>
  <c r="I4" i="44" s="1"/>
  <c r="I5" i="44" s="1"/>
  <c r="I6" i="44" s="1"/>
  <c r="I7" i="44" s="1"/>
  <c r="I8" i="44" s="1"/>
  <c r="I9" i="44" s="1"/>
  <c r="I10" i="44" s="1"/>
  <c r="I11" i="44" s="1"/>
  <c r="I12" i="44" s="1"/>
  <c r="I13" i="44" s="1"/>
  <c r="I14" i="44" s="1"/>
  <c r="I15" i="44" s="1"/>
  <c r="I16" i="44" s="1"/>
  <c r="I17" i="44" s="1"/>
  <c r="I18" i="44" s="1"/>
  <c r="I19" i="44" s="1"/>
  <c r="I20" i="44" s="1"/>
  <c r="I21" i="44" s="1"/>
  <c r="I22" i="44" s="1"/>
  <c r="I23" i="44" s="1"/>
  <c r="I24" i="44" s="1"/>
  <c r="I25" i="44" s="1"/>
  <c r="I26" i="44" s="1"/>
  <c r="I27" i="44" s="1"/>
  <c r="I28" i="44" s="1"/>
  <c r="I29" i="44" s="1"/>
  <c r="I30" i="44" s="1"/>
  <c r="I31" i="44" s="1"/>
  <c r="I32" i="44" s="1"/>
  <c r="I33" i="44" s="1"/>
  <c r="I34" i="44" s="1"/>
  <c r="I35" i="44" s="1"/>
  <c r="I36" i="44" s="1"/>
  <c r="I37" i="44" s="1"/>
  <c r="I38" i="44" s="1"/>
  <c r="I39" i="44" s="1"/>
  <c r="I40" i="44" s="1"/>
  <c r="I41" i="44" s="1"/>
  <c r="I42" i="44" s="1"/>
  <c r="I43" i="44" s="1"/>
  <c r="I44" i="44" s="1"/>
  <c r="I45" i="44" s="1"/>
  <c r="I46" i="44" s="1"/>
  <c r="I47" i="44" s="1"/>
  <c r="F48" i="43"/>
  <c r="I48" i="43" s="1"/>
  <c r="I3" i="43"/>
  <c r="I4" i="43" s="1"/>
  <c r="I5" i="43" s="1"/>
  <c r="I6" i="43" s="1"/>
  <c r="I7" i="43" s="1"/>
  <c r="I8" i="43" s="1"/>
  <c r="I9" i="43" s="1"/>
  <c r="I10" i="43" s="1"/>
  <c r="I11" i="43" s="1"/>
  <c r="I12" i="43" s="1"/>
  <c r="I13" i="43" s="1"/>
  <c r="I14" i="43" s="1"/>
  <c r="I15" i="43" s="1"/>
  <c r="I16" i="43" s="1"/>
  <c r="I17" i="43" s="1"/>
  <c r="I18" i="43" s="1"/>
  <c r="I19" i="43" s="1"/>
  <c r="I20" i="43" s="1"/>
  <c r="I21" i="43" s="1"/>
  <c r="I22" i="43" s="1"/>
  <c r="I23" i="43" s="1"/>
  <c r="I24" i="43" s="1"/>
  <c r="I25" i="43" s="1"/>
  <c r="I26" i="43" s="1"/>
  <c r="I27" i="43" s="1"/>
  <c r="I28" i="43" s="1"/>
  <c r="I29" i="43" s="1"/>
  <c r="I30" i="43" s="1"/>
  <c r="I31" i="43" s="1"/>
  <c r="I32" i="43" s="1"/>
  <c r="I33" i="43" s="1"/>
  <c r="I34" i="43" s="1"/>
  <c r="I35" i="43" s="1"/>
  <c r="I36" i="43" s="1"/>
  <c r="I37" i="43" s="1"/>
  <c r="I38" i="43" s="1"/>
  <c r="I39" i="43" s="1"/>
  <c r="I40" i="43" s="1"/>
  <c r="I41" i="43" s="1"/>
  <c r="I42" i="43" s="1"/>
  <c r="I43" i="43" s="1"/>
  <c r="I44" i="43" s="1"/>
  <c r="I45" i="43" s="1"/>
  <c r="I46" i="43" s="1"/>
  <c r="I47" i="43" s="1"/>
  <c r="I3" i="42"/>
  <c r="I4" i="42" s="1"/>
  <c r="I5" i="42" s="1"/>
  <c r="I6" i="42" s="1"/>
  <c r="I7" i="42" s="1"/>
  <c r="I8" i="42" s="1"/>
  <c r="I9" i="42" s="1"/>
  <c r="I10" i="42" s="1"/>
  <c r="I11" i="42" s="1"/>
  <c r="I12" i="42" s="1"/>
  <c r="I13" i="42" s="1"/>
  <c r="I14" i="42" s="1"/>
  <c r="I15" i="42" s="1"/>
  <c r="I16" i="42" s="1"/>
  <c r="I17" i="42" s="1"/>
  <c r="I18" i="42" s="1"/>
  <c r="I19" i="42" s="1"/>
  <c r="I20" i="42" s="1"/>
  <c r="I21" i="42" s="1"/>
  <c r="I22" i="42" s="1"/>
  <c r="I23" i="42" s="1"/>
  <c r="I24" i="42" s="1"/>
  <c r="I25" i="42" s="1"/>
  <c r="I26" i="42" s="1"/>
  <c r="I27" i="42" s="1"/>
  <c r="I28" i="42" s="1"/>
  <c r="I29" i="42" s="1"/>
  <c r="I30" i="42" s="1"/>
  <c r="I31" i="42" s="1"/>
  <c r="I32" i="42" s="1"/>
  <c r="I33" i="42" s="1"/>
  <c r="I34" i="42" s="1"/>
  <c r="I35" i="42" s="1"/>
  <c r="I36" i="42" s="1"/>
  <c r="I37" i="42" s="1"/>
  <c r="I38" i="42" s="1"/>
  <c r="I39" i="42" s="1"/>
  <c r="I40" i="42" s="1"/>
  <c r="I41" i="42" s="1"/>
  <c r="I42" i="42" s="1"/>
  <c r="I43" i="42" s="1"/>
  <c r="I44" i="42" s="1"/>
  <c r="I45" i="42" s="1"/>
  <c r="I46" i="42" s="1"/>
  <c r="I47" i="42" s="1"/>
  <c r="F48" i="42"/>
  <c r="I48" i="42" s="1"/>
  <c r="I3" i="41"/>
  <c r="I4" i="41" s="1"/>
  <c r="I5" i="41" s="1"/>
  <c r="I6" i="41" s="1"/>
  <c r="I7" i="41" s="1"/>
  <c r="I8" i="41" s="1"/>
  <c r="I9" i="41" s="1"/>
  <c r="I10" i="41" s="1"/>
  <c r="I11" i="41" s="1"/>
  <c r="I12" i="41" s="1"/>
  <c r="I13" i="41" s="1"/>
  <c r="I14" i="41" s="1"/>
  <c r="I15" i="41" s="1"/>
  <c r="I16" i="41" s="1"/>
  <c r="I17" i="41" s="1"/>
  <c r="I18" i="41" s="1"/>
  <c r="I19" i="41" s="1"/>
  <c r="I20" i="41" s="1"/>
  <c r="I21" i="41" s="1"/>
  <c r="I22" i="41" s="1"/>
  <c r="F52" i="41"/>
  <c r="I52" i="41" s="1"/>
  <c r="I3" i="40"/>
  <c r="I4" i="40" s="1"/>
  <c r="I5" i="40" s="1"/>
  <c r="I6" i="40" s="1"/>
  <c r="I7" i="40" s="1"/>
  <c r="I8" i="40" s="1"/>
  <c r="I9" i="40" s="1"/>
  <c r="I10" i="40" s="1"/>
  <c r="I11" i="40" s="1"/>
  <c r="I12" i="40" s="1"/>
  <c r="I13" i="40" s="1"/>
  <c r="I14" i="40" s="1"/>
  <c r="I15" i="40" s="1"/>
  <c r="I16" i="40" s="1"/>
  <c r="I17" i="40" s="1"/>
  <c r="I18" i="40" s="1"/>
  <c r="I19" i="40" s="1"/>
  <c r="I20" i="40" s="1"/>
  <c r="I21" i="40" s="1"/>
  <c r="I22" i="40" s="1"/>
  <c r="I23" i="40" s="1"/>
  <c r="I24" i="40" s="1"/>
  <c r="I25" i="40" s="1"/>
  <c r="I26" i="40" s="1"/>
  <c r="I27" i="40" s="1"/>
  <c r="I28" i="40" s="1"/>
  <c r="I29" i="40" s="1"/>
  <c r="I30" i="40" s="1"/>
  <c r="I31" i="40" s="1"/>
  <c r="I32" i="40" s="1"/>
  <c r="I33" i="40" s="1"/>
  <c r="I34" i="40" s="1"/>
  <c r="I35" i="40" s="1"/>
  <c r="I36" i="40" s="1"/>
  <c r="I37" i="40" s="1"/>
  <c r="I38" i="40" s="1"/>
  <c r="I39" i="40" s="1"/>
  <c r="I40" i="40" s="1"/>
  <c r="I41" i="40" s="1"/>
  <c r="I42" i="40" s="1"/>
  <c r="I43" i="40" s="1"/>
  <c r="I44" i="40" s="1"/>
  <c r="I45" i="40" s="1"/>
  <c r="I46" i="40" s="1"/>
  <c r="I47" i="40" s="1"/>
  <c r="I5" i="39"/>
  <c r="I6" i="39" s="1"/>
  <c r="I7" i="39" s="1"/>
  <c r="I8" i="39" s="1"/>
  <c r="I9" i="39" s="1"/>
  <c r="I10" i="39" s="1"/>
  <c r="I11" i="39" s="1"/>
  <c r="I12" i="39" s="1"/>
  <c r="I13" i="39" s="1"/>
  <c r="I14" i="39" s="1"/>
  <c r="I15" i="39" s="1"/>
  <c r="I16" i="39" s="1"/>
  <c r="I17" i="39" s="1"/>
  <c r="I18" i="39" s="1"/>
  <c r="I19" i="39" s="1"/>
  <c r="I20" i="39" s="1"/>
  <c r="I21" i="39" s="1"/>
  <c r="I22" i="39" s="1"/>
  <c r="I23" i="39" s="1"/>
  <c r="I24" i="39" s="1"/>
  <c r="I25" i="39" s="1"/>
  <c r="I26" i="39" s="1"/>
  <c r="I27" i="39" s="1"/>
  <c r="I28" i="39" s="1"/>
  <c r="I29" i="39" s="1"/>
  <c r="I30" i="39" s="1"/>
  <c r="I31" i="39" s="1"/>
  <c r="I32" i="39" s="1"/>
  <c r="I33" i="39" s="1"/>
  <c r="I34" i="39" s="1"/>
  <c r="I35" i="39" s="1"/>
  <c r="I36" i="39" s="1"/>
  <c r="I37" i="39" s="1"/>
  <c r="I38" i="39" s="1"/>
  <c r="I39" i="39" s="1"/>
  <c r="I40" i="39" s="1"/>
  <c r="I41" i="39" s="1"/>
  <c r="I42" i="39" s="1"/>
  <c r="I43" i="39" s="1"/>
  <c r="I44" i="39" s="1"/>
  <c r="I45" i="39" s="1"/>
  <c r="I46" i="39" s="1"/>
  <c r="I47" i="39" s="1"/>
  <c r="F48" i="38"/>
  <c r="I48" i="38" s="1"/>
  <c r="I3" i="38"/>
  <c r="I4" i="38" s="1"/>
  <c r="I5" i="38" s="1"/>
  <c r="I6" i="38" s="1"/>
  <c r="I7" i="38" s="1"/>
  <c r="I8" i="38" s="1"/>
  <c r="I9" i="38" s="1"/>
  <c r="I10" i="38" s="1"/>
  <c r="I11" i="38" s="1"/>
  <c r="I12" i="38" s="1"/>
  <c r="I13" i="38" s="1"/>
  <c r="I14" i="38" s="1"/>
  <c r="I15" i="38" s="1"/>
  <c r="I16" i="38" s="1"/>
  <c r="I17" i="38" s="1"/>
  <c r="I18" i="38" s="1"/>
  <c r="I19" i="38" s="1"/>
  <c r="I20" i="38" s="1"/>
  <c r="I21" i="38" s="1"/>
  <c r="I22" i="38" s="1"/>
  <c r="I23" i="38" s="1"/>
  <c r="I24" i="38" s="1"/>
  <c r="I25" i="38" s="1"/>
  <c r="I26" i="38" s="1"/>
  <c r="I27" i="38" s="1"/>
  <c r="I28" i="38" s="1"/>
  <c r="I29" i="38" s="1"/>
  <c r="I30" i="38" s="1"/>
  <c r="I31" i="38" s="1"/>
  <c r="I32" i="38" s="1"/>
  <c r="I33" i="38" s="1"/>
  <c r="I34" i="38" s="1"/>
  <c r="I35" i="38" s="1"/>
  <c r="I36" i="38" s="1"/>
  <c r="I37" i="38" s="1"/>
  <c r="I38" i="38" s="1"/>
  <c r="I39" i="38" s="1"/>
  <c r="I40" i="38" s="1"/>
  <c r="I41" i="38" s="1"/>
  <c r="I42" i="38" s="1"/>
  <c r="I43" i="38" s="1"/>
  <c r="I44" i="38" s="1"/>
  <c r="I45" i="38" s="1"/>
  <c r="I46" i="38" s="1"/>
  <c r="I47" i="38" s="1"/>
  <c r="F48" i="37"/>
  <c r="I48" i="37" s="1"/>
  <c r="I3" i="37"/>
  <c r="I4" i="37" s="1"/>
  <c r="I5" i="37" s="1"/>
  <c r="I6" i="37" s="1"/>
  <c r="I7" i="37" s="1"/>
  <c r="I8" i="37" s="1"/>
  <c r="I9" i="37" s="1"/>
  <c r="I10" i="37" s="1"/>
  <c r="I11" i="37" s="1"/>
  <c r="I12" i="37" s="1"/>
  <c r="I13" i="37" s="1"/>
  <c r="I14" i="37" s="1"/>
  <c r="I15" i="37" s="1"/>
  <c r="I16" i="37" s="1"/>
  <c r="I17" i="37" s="1"/>
  <c r="I18" i="37" s="1"/>
  <c r="I19" i="37" s="1"/>
  <c r="I20" i="37" s="1"/>
  <c r="I21" i="37" s="1"/>
  <c r="I22" i="37" s="1"/>
  <c r="I23" i="37" s="1"/>
  <c r="I24" i="37" s="1"/>
  <c r="I25" i="37" s="1"/>
  <c r="I26" i="37" s="1"/>
  <c r="I27" i="37" s="1"/>
  <c r="I28" i="37" s="1"/>
  <c r="I29" i="37" s="1"/>
  <c r="I30" i="37" s="1"/>
  <c r="I31" i="37" s="1"/>
  <c r="I32" i="37" s="1"/>
  <c r="I33" i="37" s="1"/>
  <c r="I34" i="37" s="1"/>
  <c r="I35" i="37" s="1"/>
  <c r="I36" i="37" s="1"/>
  <c r="I37" i="37" s="1"/>
  <c r="I38" i="37" s="1"/>
  <c r="I39" i="37" s="1"/>
  <c r="I40" i="37" s="1"/>
  <c r="I41" i="37" s="1"/>
  <c r="I42" i="37" s="1"/>
  <c r="I43" i="37" s="1"/>
  <c r="I44" i="37" s="1"/>
  <c r="I45" i="37" s="1"/>
  <c r="I46" i="37" s="1"/>
  <c r="I47" i="37" s="1"/>
  <c r="F48" i="36"/>
  <c r="I48" i="36" s="1"/>
  <c r="F48" i="35"/>
  <c r="I48" i="35" s="1"/>
  <c r="I3" i="35"/>
  <c r="I4" i="35" s="1"/>
  <c r="I5" i="35" s="1"/>
  <c r="I6" i="35" s="1"/>
  <c r="I7" i="35" s="1"/>
  <c r="I8" i="35" s="1"/>
  <c r="I9" i="35" s="1"/>
  <c r="I10" i="35" s="1"/>
  <c r="I11" i="35" s="1"/>
  <c r="I12" i="35" s="1"/>
  <c r="I13" i="35" s="1"/>
  <c r="I14" i="35" s="1"/>
  <c r="I15" i="35" s="1"/>
  <c r="I16" i="35" s="1"/>
  <c r="I17" i="35" s="1"/>
  <c r="I18" i="35" s="1"/>
  <c r="I19" i="35" s="1"/>
  <c r="I20" i="35" s="1"/>
  <c r="I21" i="35" s="1"/>
  <c r="I22" i="35" s="1"/>
  <c r="I23" i="35" s="1"/>
  <c r="I24" i="35" s="1"/>
  <c r="I25" i="35" s="1"/>
  <c r="I26" i="35" s="1"/>
  <c r="I27" i="35" s="1"/>
  <c r="I28" i="35" s="1"/>
  <c r="I29" i="35" s="1"/>
  <c r="I30" i="35" s="1"/>
  <c r="I31" i="35" s="1"/>
  <c r="I32" i="35" s="1"/>
  <c r="I33" i="35" s="1"/>
  <c r="I34" i="35" s="1"/>
  <c r="I35" i="35" s="1"/>
  <c r="I36" i="35" s="1"/>
  <c r="I37" i="35" s="1"/>
  <c r="I38" i="35" s="1"/>
  <c r="I39" i="35" s="1"/>
  <c r="I40" i="35" s="1"/>
  <c r="I41" i="35" s="1"/>
  <c r="I42" i="35" s="1"/>
  <c r="I43" i="35" s="1"/>
  <c r="I44" i="35" s="1"/>
  <c r="I45" i="35" s="1"/>
  <c r="I46" i="35" s="1"/>
  <c r="I47" i="35" s="1"/>
  <c r="I3" i="34"/>
  <c r="I4" i="34" s="1"/>
  <c r="I5" i="34" s="1"/>
  <c r="I6" i="34" s="1"/>
  <c r="I7" i="34" s="1"/>
  <c r="I8" i="34" s="1"/>
  <c r="I9" i="34" s="1"/>
  <c r="I10" i="34" s="1"/>
  <c r="I11" i="34" s="1"/>
  <c r="I12" i="34" s="1"/>
  <c r="I13" i="34" s="1"/>
  <c r="I14" i="34" s="1"/>
  <c r="I15" i="34" s="1"/>
  <c r="I16" i="34" s="1"/>
  <c r="I17" i="34" s="1"/>
  <c r="I18" i="34" s="1"/>
  <c r="I19" i="34" s="1"/>
  <c r="I20" i="34" s="1"/>
  <c r="I21" i="34" s="1"/>
  <c r="I22" i="34" s="1"/>
  <c r="I23" i="34" s="1"/>
  <c r="I24" i="34" s="1"/>
  <c r="I25" i="34" s="1"/>
  <c r="I26" i="34" s="1"/>
  <c r="I27" i="34" s="1"/>
  <c r="I28" i="34" s="1"/>
  <c r="I29" i="34" s="1"/>
  <c r="I30" i="34" s="1"/>
  <c r="I31" i="34" s="1"/>
  <c r="I32" i="34" s="1"/>
  <c r="I33" i="34" s="1"/>
  <c r="I34" i="34" s="1"/>
  <c r="I35" i="34" s="1"/>
  <c r="I36" i="34" s="1"/>
  <c r="I37" i="34" s="1"/>
  <c r="I38" i="34" s="1"/>
  <c r="I39" i="34" s="1"/>
  <c r="I40" i="34" s="1"/>
  <c r="I41" i="34" s="1"/>
  <c r="I42" i="34" s="1"/>
  <c r="I43" i="34" s="1"/>
  <c r="I44" i="34" s="1"/>
  <c r="I45" i="34" s="1"/>
  <c r="I46" i="34" s="1"/>
  <c r="I47" i="34" s="1"/>
  <c r="F48" i="33"/>
  <c r="I48" i="33" s="1"/>
  <c r="I4" i="33"/>
  <c r="I5" i="33" s="1"/>
  <c r="I6" i="33" s="1"/>
  <c r="I7" i="33" s="1"/>
  <c r="I8" i="33" s="1"/>
  <c r="I9" i="33" s="1"/>
  <c r="I10" i="33" s="1"/>
  <c r="I11" i="33" s="1"/>
  <c r="I12" i="33" s="1"/>
  <c r="I13" i="33" s="1"/>
  <c r="I14" i="33" s="1"/>
  <c r="I15" i="33" s="1"/>
  <c r="I16" i="33" s="1"/>
  <c r="I17" i="33" s="1"/>
  <c r="I18" i="33" s="1"/>
  <c r="I19" i="33" s="1"/>
  <c r="I20" i="33" s="1"/>
  <c r="I21" i="33" s="1"/>
  <c r="I22" i="33" s="1"/>
  <c r="I23" i="33" s="1"/>
  <c r="I24" i="33" s="1"/>
  <c r="I25" i="33" s="1"/>
  <c r="I26" i="33" s="1"/>
  <c r="I27" i="33" s="1"/>
  <c r="I28" i="33" s="1"/>
  <c r="I29" i="33" s="1"/>
  <c r="I30" i="33" s="1"/>
  <c r="I31" i="33" s="1"/>
  <c r="I32" i="33" s="1"/>
  <c r="I33" i="33" s="1"/>
  <c r="I34" i="33" s="1"/>
  <c r="I35" i="33" s="1"/>
  <c r="I36" i="33" s="1"/>
  <c r="I37" i="33" s="1"/>
  <c r="I38" i="33" s="1"/>
  <c r="I39" i="33" s="1"/>
  <c r="I40" i="33" s="1"/>
  <c r="I41" i="33" s="1"/>
  <c r="I42" i="33" s="1"/>
  <c r="I43" i="33" s="1"/>
  <c r="I44" i="33" s="1"/>
  <c r="I45" i="33" s="1"/>
  <c r="I46" i="33" s="1"/>
  <c r="I47" i="33" s="1"/>
  <c r="I5" i="32"/>
  <c r="I6" i="32" s="1"/>
  <c r="I7" i="32" s="1"/>
  <c r="I8" i="32" s="1"/>
  <c r="I9" i="32" s="1"/>
  <c r="I10" i="32" s="1"/>
  <c r="I11" i="32" s="1"/>
  <c r="I12" i="32" s="1"/>
  <c r="I13" i="32" s="1"/>
  <c r="I14" i="32" s="1"/>
  <c r="I15" i="32" s="1"/>
  <c r="I16" i="32" s="1"/>
  <c r="I17" i="32" s="1"/>
  <c r="I18" i="32" s="1"/>
  <c r="I19" i="32" s="1"/>
  <c r="I20" i="32" s="1"/>
  <c r="I21" i="32" s="1"/>
  <c r="I22" i="32" s="1"/>
  <c r="I23" i="32" s="1"/>
  <c r="I24" i="32" s="1"/>
  <c r="I25" i="32" s="1"/>
  <c r="I26" i="32" s="1"/>
  <c r="I27" i="32" s="1"/>
  <c r="I28" i="32" s="1"/>
  <c r="I29" i="32" s="1"/>
  <c r="I30" i="32" s="1"/>
  <c r="I31" i="32" s="1"/>
  <c r="I32" i="32" s="1"/>
  <c r="I33" i="32" s="1"/>
  <c r="I34" i="32" s="1"/>
  <c r="I35" i="32" s="1"/>
  <c r="I36" i="32" s="1"/>
  <c r="I37" i="32" s="1"/>
  <c r="I38" i="32" s="1"/>
  <c r="I39" i="32" s="1"/>
  <c r="I40" i="32" s="1"/>
  <c r="I41" i="32" s="1"/>
  <c r="I42" i="32" s="1"/>
  <c r="I43" i="32" s="1"/>
  <c r="I44" i="32" s="1"/>
  <c r="I45" i="32" s="1"/>
  <c r="I46" i="32" s="1"/>
  <c r="I47" i="32" s="1"/>
  <c r="F48" i="32"/>
  <c r="I48" i="32" s="1"/>
  <c r="I4" i="31"/>
  <c r="I5" i="31" s="1"/>
  <c r="I6" i="31" s="1"/>
  <c r="I7" i="31" s="1"/>
  <c r="I8" i="31" s="1"/>
  <c r="I9" i="31" s="1"/>
  <c r="I10" i="31" s="1"/>
  <c r="I11" i="31" s="1"/>
  <c r="I12" i="31" s="1"/>
  <c r="I13" i="31" s="1"/>
  <c r="I14" i="31" s="1"/>
  <c r="I15" i="31" s="1"/>
  <c r="I16" i="31" s="1"/>
  <c r="I17" i="31" s="1"/>
  <c r="I18" i="31" s="1"/>
  <c r="I19" i="31" s="1"/>
  <c r="I20" i="31" s="1"/>
  <c r="I21" i="31" s="1"/>
  <c r="I22" i="31" s="1"/>
  <c r="I23" i="31" s="1"/>
  <c r="I24" i="31" s="1"/>
  <c r="I25" i="31" s="1"/>
  <c r="I26" i="31" s="1"/>
  <c r="I27" i="31" s="1"/>
  <c r="I28" i="31" s="1"/>
  <c r="I29" i="31" s="1"/>
  <c r="I30" i="31" s="1"/>
  <c r="I31" i="31" s="1"/>
  <c r="I32" i="31" s="1"/>
  <c r="I33" i="31" s="1"/>
  <c r="I34" i="31" s="1"/>
  <c r="I35" i="31" s="1"/>
  <c r="I36" i="31" s="1"/>
  <c r="I37" i="31" s="1"/>
  <c r="I38" i="31" s="1"/>
  <c r="I39" i="31" s="1"/>
  <c r="I40" i="31" s="1"/>
  <c r="I41" i="31" s="1"/>
  <c r="I42" i="31" s="1"/>
  <c r="I43" i="31" s="1"/>
  <c r="I44" i="31" s="1"/>
  <c r="I45" i="31" s="1"/>
  <c r="I46" i="31" s="1"/>
  <c r="I47" i="31" s="1"/>
  <c r="F48" i="31"/>
  <c r="I48" i="31" s="1"/>
  <c r="F48" i="30"/>
  <c r="I48" i="30" s="1"/>
  <c r="I3" i="30"/>
  <c r="I4" i="30" s="1"/>
  <c r="I5" i="30" s="1"/>
  <c r="I6" i="30" s="1"/>
  <c r="I7" i="30" s="1"/>
  <c r="I8" i="30" s="1"/>
  <c r="I9" i="30" s="1"/>
  <c r="I10" i="30" s="1"/>
  <c r="I11" i="30" s="1"/>
  <c r="I12" i="30" s="1"/>
  <c r="I13" i="30" s="1"/>
  <c r="I14" i="30" s="1"/>
  <c r="I15" i="30" s="1"/>
  <c r="I16" i="30" s="1"/>
  <c r="I17" i="30" s="1"/>
  <c r="I18" i="30" s="1"/>
  <c r="I19" i="30" s="1"/>
  <c r="I20" i="30" s="1"/>
  <c r="I21" i="30" s="1"/>
  <c r="I22" i="30" s="1"/>
  <c r="I23" i="30" s="1"/>
  <c r="I24" i="30" s="1"/>
  <c r="I25" i="30" s="1"/>
  <c r="I26" i="30" s="1"/>
  <c r="I27" i="30" s="1"/>
  <c r="I28" i="30" s="1"/>
  <c r="I29" i="30" s="1"/>
  <c r="I30" i="30" s="1"/>
  <c r="I31" i="30" s="1"/>
  <c r="I32" i="30" s="1"/>
  <c r="I33" i="30" s="1"/>
  <c r="I34" i="30" s="1"/>
  <c r="I35" i="30" s="1"/>
  <c r="I36" i="30" s="1"/>
  <c r="I37" i="30" s="1"/>
  <c r="I38" i="30" s="1"/>
  <c r="I39" i="30" s="1"/>
  <c r="I40" i="30" s="1"/>
  <c r="I41" i="30" s="1"/>
  <c r="I42" i="30" s="1"/>
  <c r="I43" i="30" s="1"/>
  <c r="I44" i="30" s="1"/>
  <c r="I45" i="30" s="1"/>
  <c r="I46" i="30" s="1"/>
  <c r="I47" i="30" s="1"/>
  <c r="I5" i="29"/>
  <c r="I6" i="29" s="1"/>
  <c r="I7" i="29" s="1"/>
  <c r="I8" i="29" s="1"/>
  <c r="I9" i="29" s="1"/>
  <c r="I10" i="29" s="1"/>
  <c r="I11" i="29" s="1"/>
  <c r="I12" i="29" s="1"/>
  <c r="I13" i="29" s="1"/>
  <c r="I14" i="29" s="1"/>
  <c r="I15" i="29" s="1"/>
  <c r="I16" i="29" s="1"/>
  <c r="I17" i="29" s="1"/>
  <c r="I18" i="29" s="1"/>
  <c r="I19" i="29" s="1"/>
  <c r="I20" i="29" s="1"/>
  <c r="I21" i="29" s="1"/>
  <c r="I22" i="29" s="1"/>
  <c r="I23" i="29" s="1"/>
  <c r="I24" i="29" s="1"/>
  <c r="I25" i="29" s="1"/>
  <c r="I26" i="29" s="1"/>
  <c r="I27" i="29" s="1"/>
  <c r="I28" i="29" s="1"/>
  <c r="I29" i="29" s="1"/>
  <c r="I30" i="29" s="1"/>
  <c r="I31" i="29" s="1"/>
  <c r="I32" i="29" s="1"/>
  <c r="I33" i="29" s="1"/>
  <c r="I34" i="29" s="1"/>
  <c r="I35" i="29" s="1"/>
  <c r="I36" i="29" s="1"/>
  <c r="I37" i="29" s="1"/>
  <c r="I38" i="29" s="1"/>
  <c r="I39" i="29" s="1"/>
  <c r="I40" i="29" s="1"/>
  <c r="I41" i="29" s="1"/>
  <c r="I42" i="29" s="1"/>
  <c r="I43" i="29" s="1"/>
  <c r="I44" i="29" s="1"/>
  <c r="I45" i="29" s="1"/>
  <c r="I46" i="29" s="1"/>
  <c r="I47" i="29" s="1"/>
  <c r="F48" i="29"/>
  <c r="I48" i="29" s="1"/>
  <c r="F48" i="28"/>
  <c r="I48" i="28" s="1"/>
  <c r="I3" i="27"/>
  <c r="I4" i="27" s="1"/>
  <c r="I5" i="27" s="1"/>
  <c r="I6" i="27" s="1"/>
  <c r="I7" i="27" s="1"/>
  <c r="I8" i="27" s="1"/>
  <c r="I9" i="27" s="1"/>
  <c r="I10" i="27" s="1"/>
  <c r="I11" i="27" s="1"/>
  <c r="I12" i="27" s="1"/>
  <c r="I13" i="27" s="1"/>
  <c r="I14" i="27" s="1"/>
  <c r="I15" i="27" s="1"/>
  <c r="I16" i="27" s="1"/>
  <c r="I17" i="27" s="1"/>
  <c r="I18" i="27" s="1"/>
  <c r="I19" i="27" s="1"/>
  <c r="I20" i="27" s="1"/>
  <c r="I21" i="27" s="1"/>
  <c r="I22" i="27" s="1"/>
  <c r="I23" i="27" s="1"/>
  <c r="I24" i="27" s="1"/>
  <c r="I25" i="27" s="1"/>
  <c r="I26" i="27" s="1"/>
  <c r="I27" i="27" s="1"/>
  <c r="I28" i="27" s="1"/>
  <c r="I29" i="27" s="1"/>
  <c r="I30" i="27" s="1"/>
  <c r="I31" i="27" s="1"/>
  <c r="I32" i="27" s="1"/>
  <c r="I33" i="27" s="1"/>
  <c r="I34" i="27" s="1"/>
  <c r="I35" i="27" s="1"/>
  <c r="I36" i="27" s="1"/>
  <c r="I37" i="27" s="1"/>
  <c r="I38" i="27" s="1"/>
  <c r="I39" i="27" s="1"/>
  <c r="I40" i="27" s="1"/>
  <c r="I41" i="27" s="1"/>
  <c r="I42" i="27" s="1"/>
  <c r="I43" i="27" s="1"/>
  <c r="I44" i="27" s="1"/>
  <c r="I45" i="27" s="1"/>
  <c r="I46" i="27" s="1"/>
  <c r="I47" i="27" s="1"/>
  <c r="F48" i="26"/>
  <c r="I48" i="26" s="1"/>
  <c r="I3" i="25"/>
  <c r="I4" i="25" s="1"/>
  <c r="I5" i="25" s="1"/>
  <c r="I6" i="25" s="1"/>
  <c r="I7" i="25" s="1"/>
  <c r="I8" i="25" s="1"/>
  <c r="I9" i="25" s="1"/>
  <c r="I10" i="25" s="1"/>
  <c r="I11" i="25" s="1"/>
  <c r="I12" i="25" s="1"/>
  <c r="I13" i="25" s="1"/>
  <c r="I14" i="25" s="1"/>
  <c r="I15" i="25" s="1"/>
  <c r="I16" i="25" s="1"/>
  <c r="I17" i="25" s="1"/>
  <c r="I18" i="25" s="1"/>
  <c r="I19" i="25" s="1"/>
  <c r="I20" i="25" s="1"/>
  <c r="I21" i="25" s="1"/>
  <c r="I22" i="25" s="1"/>
  <c r="I23" i="25" s="1"/>
  <c r="I24" i="25" s="1"/>
  <c r="I25" i="25" s="1"/>
  <c r="I26" i="25" s="1"/>
  <c r="I27" i="25" s="1"/>
  <c r="I28" i="25" s="1"/>
  <c r="I29" i="25" s="1"/>
  <c r="I30" i="25" s="1"/>
  <c r="I31" i="25" s="1"/>
  <c r="I32" i="25" s="1"/>
  <c r="I33" i="25" s="1"/>
  <c r="I34" i="25" s="1"/>
  <c r="I35" i="25" s="1"/>
  <c r="I36" i="25" s="1"/>
  <c r="I37" i="25" s="1"/>
  <c r="I38" i="25" s="1"/>
  <c r="I39" i="25" s="1"/>
  <c r="I40" i="25" s="1"/>
  <c r="I41" i="25" s="1"/>
  <c r="I42" i="25" s="1"/>
  <c r="I43" i="25" s="1"/>
  <c r="I44" i="25" s="1"/>
  <c r="I45" i="25" s="1"/>
  <c r="I46" i="25" s="1"/>
  <c r="I47" i="25" s="1"/>
  <c r="F48" i="23"/>
  <c r="I48" i="23" s="1"/>
  <c r="I5" i="23"/>
  <c r="I6" i="23" s="1"/>
  <c r="I7" i="23" s="1"/>
  <c r="I8" i="23" s="1"/>
  <c r="I9" i="23" s="1"/>
  <c r="I10" i="23" s="1"/>
  <c r="I11" i="23" s="1"/>
  <c r="I12" i="23" s="1"/>
  <c r="I13" i="23" s="1"/>
  <c r="I14" i="23" s="1"/>
  <c r="I15" i="23" s="1"/>
  <c r="I16" i="23" s="1"/>
  <c r="I17" i="23" s="1"/>
  <c r="I18" i="23" s="1"/>
  <c r="I19" i="23" s="1"/>
  <c r="I20" i="23" s="1"/>
  <c r="I21" i="23" s="1"/>
  <c r="I22" i="23" s="1"/>
  <c r="I23" i="23" s="1"/>
  <c r="I24" i="23" s="1"/>
  <c r="I25" i="23" s="1"/>
  <c r="I26" i="23" s="1"/>
  <c r="I27" i="23" s="1"/>
  <c r="I28" i="23" s="1"/>
  <c r="I29" i="23" s="1"/>
  <c r="I30" i="23" s="1"/>
  <c r="I31" i="23" s="1"/>
  <c r="I32" i="23" s="1"/>
  <c r="I33" i="23" s="1"/>
  <c r="I34" i="23" s="1"/>
  <c r="I35" i="23" s="1"/>
  <c r="I36" i="23" s="1"/>
  <c r="I37" i="23" s="1"/>
  <c r="I38" i="23" s="1"/>
  <c r="I39" i="23" s="1"/>
  <c r="I40" i="23" s="1"/>
  <c r="I41" i="23" s="1"/>
  <c r="I42" i="23" s="1"/>
  <c r="I43" i="23" s="1"/>
  <c r="I44" i="23" s="1"/>
  <c r="I45" i="23" s="1"/>
  <c r="I46" i="23" s="1"/>
  <c r="I47" i="23" s="1"/>
  <c r="I3" i="22"/>
  <c r="I4" i="22" s="1"/>
  <c r="I5" i="22" s="1"/>
  <c r="I6" i="22" s="1"/>
  <c r="I7" i="22" s="1"/>
  <c r="I8" i="22" s="1"/>
  <c r="I9" i="22" s="1"/>
  <c r="I10" i="22" s="1"/>
  <c r="I11" i="22" s="1"/>
  <c r="I12" i="22" s="1"/>
  <c r="I13" i="22" s="1"/>
  <c r="I14" i="22" s="1"/>
  <c r="I15" i="22" s="1"/>
  <c r="I16" i="22" s="1"/>
  <c r="I17" i="22" s="1"/>
  <c r="I18" i="22" s="1"/>
  <c r="I19" i="22" s="1"/>
  <c r="I20" i="22" s="1"/>
  <c r="I21" i="22" s="1"/>
  <c r="I22" i="22" s="1"/>
  <c r="I23" i="22" s="1"/>
  <c r="I24" i="22" s="1"/>
  <c r="I25" i="22" s="1"/>
  <c r="I26" i="22" s="1"/>
  <c r="I27" i="22" s="1"/>
  <c r="I28" i="22" s="1"/>
  <c r="I29" i="22" s="1"/>
  <c r="I30" i="22" s="1"/>
  <c r="I31" i="22" s="1"/>
  <c r="I32" i="22" s="1"/>
  <c r="I33" i="22" s="1"/>
  <c r="I34" i="22" s="1"/>
  <c r="I35" i="22" s="1"/>
  <c r="I36" i="22" s="1"/>
  <c r="I37" i="22" s="1"/>
  <c r="I38" i="22" s="1"/>
  <c r="I39" i="22" s="1"/>
  <c r="I40" i="22" s="1"/>
  <c r="I41" i="22" s="1"/>
  <c r="I42" i="22" s="1"/>
  <c r="I43" i="22" s="1"/>
  <c r="I44" i="22" s="1"/>
  <c r="I45" i="22" s="1"/>
  <c r="I46" i="22" s="1"/>
  <c r="I47" i="22" s="1"/>
  <c r="F48" i="21"/>
  <c r="I48" i="21" s="1"/>
  <c r="I4" i="21"/>
  <c r="I5" i="21" s="1"/>
  <c r="I6" i="21" s="1"/>
  <c r="I7" i="21" s="1"/>
  <c r="I8" i="21" s="1"/>
  <c r="I9" i="21" s="1"/>
  <c r="I10" i="21" s="1"/>
  <c r="I11" i="21" s="1"/>
  <c r="I12" i="21" s="1"/>
  <c r="I13" i="21" s="1"/>
  <c r="I14" i="21" s="1"/>
  <c r="I15" i="21" s="1"/>
  <c r="I16" i="21" s="1"/>
  <c r="I17" i="21" s="1"/>
  <c r="I18" i="21" s="1"/>
  <c r="I19" i="21" s="1"/>
  <c r="I20" i="21" s="1"/>
  <c r="I21" i="21" s="1"/>
  <c r="I22" i="21" s="1"/>
  <c r="I23" i="21" s="1"/>
  <c r="I24" i="21" s="1"/>
  <c r="I25" i="21" s="1"/>
  <c r="I26" i="21" s="1"/>
  <c r="I27" i="21" s="1"/>
  <c r="I28" i="21" s="1"/>
  <c r="I29" i="21" s="1"/>
  <c r="I30" i="21" s="1"/>
  <c r="I31" i="21" s="1"/>
  <c r="I32" i="21" s="1"/>
  <c r="I33" i="21" s="1"/>
  <c r="I34" i="21" s="1"/>
  <c r="I35" i="21" s="1"/>
  <c r="I36" i="21" s="1"/>
  <c r="I37" i="21" s="1"/>
  <c r="I38" i="21" s="1"/>
  <c r="I39" i="21" s="1"/>
  <c r="I40" i="21" s="1"/>
  <c r="I41" i="21" s="1"/>
  <c r="I42" i="21" s="1"/>
  <c r="I43" i="21" s="1"/>
  <c r="I44" i="21" s="1"/>
  <c r="I45" i="21" s="1"/>
  <c r="I46" i="21" s="1"/>
  <c r="I47" i="21" s="1"/>
  <c r="F48" i="20"/>
  <c r="I48" i="20" s="1"/>
  <c r="F48" i="17"/>
  <c r="I48" i="17" s="1"/>
  <c r="I5" i="17"/>
  <c r="I6" i="17" s="1"/>
  <c r="I7" i="17" s="1"/>
  <c r="I8" i="17" s="1"/>
  <c r="I9" i="17" s="1"/>
  <c r="I10" i="17" s="1"/>
  <c r="I11" i="17" s="1"/>
  <c r="I12" i="17" s="1"/>
  <c r="I13" i="17" s="1"/>
  <c r="I14" i="17" s="1"/>
  <c r="I15" i="17" s="1"/>
  <c r="I16" i="17" s="1"/>
  <c r="I17" i="17" s="1"/>
  <c r="I18" i="17" s="1"/>
  <c r="I19" i="17" s="1"/>
  <c r="I20" i="17" s="1"/>
  <c r="I21" i="17" s="1"/>
  <c r="I22" i="17" s="1"/>
  <c r="I23" i="17" s="1"/>
  <c r="I24" i="17" s="1"/>
  <c r="I25" i="17" s="1"/>
  <c r="I26" i="17" s="1"/>
  <c r="I27" i="17" s="1"/>
  <c r="I28" i="17" s="1"/>
  <c r="I29" i="17" s="1"/>
  <c r="I30" i="17" s="1"/>
  <c r="I31" i="17" s="1"/>
  <c r="I32" i="17" s="1"/>
  <c r="I33" i="17" s="1"/>
  <c r="I34" i="17" s="1"/>
  <c r="I35" i="17" s="1"/>
  <c r="I36" i="17" s="1"/>
  <c r="I37" i="17" s="1"/>
  <c r="I38" i="17" s="1"/>
  <c r="I39" i="17" s="1"/>
  <c r="I40" i="17" s="1"/>
  <c r="I41" i="17" s="1"/>
  <c r="I42" i="17" s="1"/>
  <c r="I43" i="17" s="1"/>
  <c r="I44" i="17" s="1"/>
  <c r="I45" i="17" s="1"/>
  <c r="I46" i="17" s="1"/>
  <c r="I47" i="17" s="1"/>
  <c r="F48" i="16"/>
  <c r="I48" i="16" s="1"/>
  <c r="I4" i="16"/>
  <c r="I5" i="16" s="1"/>
  <c r="I6" i="16" s="1"/>
  <c r="I7" i="16" s="1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I35" i="16" s="1"/>
  <c r="I36" i="16" s="1"/>
  <c r="I37" i="16" s="1"/>
  <c r="I38" i="16" s="1"/>
  <c r="I39" i="16" s="1"/>
  <c r="I40" i="16" s="1"/>
  <c r="I41" i="16" s="1"/>
  <c r="I42" i="16" s="1"/>
  <c r="I43" i="16" s="1"/>
  <c r="I44" i="16" s="1"/>
  <c r="I45" i="16" s="1"/>
  <c r="I46" i="16" s="1"/>
  <c r="I47" i="16" s="1"/>
  <c r="I3" i="15"/>
  <c r="I4" i="15" s="1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I17" i="15" s="1"/>
  <c r="I18" i="15" s="1"/>
  <c r="I19" i="15" s="1"/>
  <c r="I20" i="15" s="1"/>
  <c r="I21" i="15" s="1"/>
  <c r="I22" i="15" s="1"/>
  <c r="I23" i="15" s="1"/>
  <c r="I24" i="15" s="1"/>
  <c r="I25" i="15" s="1"/>
  <c r="I26" i="15" s="1"/>
  <c r="I27" i="15" s="1"/>
  <c r="I28" i="15" s="1"/>
  <c r="I29" i="15" s="1"/>
  <c r="I30" i="15" s="1"/>
  <c r="I31" i="15" s="1"/>
  <c r="I32" i="15" s="1"/>
  <c r="I33" i="15" s="1"/>
  <c r="I34" i="15" s="1"/>
  <c r="I35" i="15" s="1"/>
  <c r="I36" i="15" s="1"/>
  <c r="I37" i="15" s="1"/>
  <c r="I38" i="15" s="1"/>
  <c r="I39" i="15" s="1"/>
  <c r="I40" i="15" s="1"/>
  <c r="I41" i="15" s="1"/>
  <c r="I42" i="15" s="1"/>
  <c r="I43" i="15" s="1"/>
  <c r="I44" i="15" s="1"/>
  <c r="I45" i="15" s="1"/>
  <c r="I46" i="15" s="1"/>
  <c r="I47" i="15" s="1"/>
  <c r="F48" i="15"/>
  <c r="I48" i="15" s="1"/>
  <c r="F48" i="14"/>
  <c r="I48" i="14" s="1"/>
  <c r="I3" i="13"/>
  <c r="I4" i="13" s="1"/>
  <c r="I5" i="13" s="1"/>
  <c r="I6" i="13" s="1"/>
  <c r="I7" i="13" s="1"/>
  <c r="I8" i="13" s="1"/>
  <c r="I9" i="13" s="1"/>
  <c r="I10" i="13" s="1"/>
  <c r="I11" i="13" s="1"/>
  <c r="I12" i="13" s="1"/>
  <c r="I13" i="13" s="1"/>
  <c r="I14" i="13" s="1"/>
  <c r="I15" i="13" s="1"/>
  <c r="I16" i="13" s="1"/>
  <c r="I17" i="13" s="1"/>
  <c r="I18" i="13" s="1"/>
  <c r="I19" i="13" s="1"/>
  <c r="I20" i="13" s="1"/>
  <c r="I21" i="13" s="1"/>
  <c r="I22" i="13" s="1"/>
  <c r="I23" i="13" s="1"/>
  <c r="I24" i="13" s="1"/>
  <c r="I25" i="13" s="1"/>
  <c r="I26" i="13" s="1"/>
  <c r="I27" i="13" s="1"/>
  <c r="I28" i="13" s="1"/>
  <c r="I29" i="13" s="1"/>
  <c r="I30" i="13" s="1"/>
  <c r="I31" i="13" s="1"/>
  <c r="I32" i="13" s="1"/>
  <c r="I33" i="13" s="1"/>
  <c r="I34" i="13" s="1"/>
  <c r="I35" i="13" s="1"/>
  <c r="I36" i="13" s="1"/>
  <c r="I37" i="13" s="1"/>
  <c r="I38" i="13" s="1"/>
  <c r="I39" i="13" s="1"/>
  <c r="I40" i="13" s="1"/>
  <c r="I41" i="13" s="1"/>
  <c r="I42" i="13" s="1"/>
  <c r="I43" i="13" s="1"/>
  <c r="I44" i="13" s="1"/>
  <c r="I45" i="13" s="1"/>
  <c r="I46" i="13" s="1"/>
  <c r="I47" i="13" s="1"/>
  <c r="F48" i="13"/>
  <c r="I48" i="13" s="1"/>
  <c r="F48" i="11"/>
  <c r="I48" i="11" s="1"/>
  <c r="F48" i="3"/>
  <c r="I48" i="3" s="1"/>
  <c r="F48" i="5"/>
  <c r="I48" i="5" s="1"/>
  <c r="I3" i="5"/>
  <c r="I4" i="5" s="1"/>
  <c r="I5" i="5" s="1"/>
  <c r="I6" i="5" s="1"/>
  <c r="I7" i="5" s="1"/>
  <c r="I8" i="5" s="1"/>
  <c r="I9" i="5" s="1"/>
  <c r="I10" i="5" s="1"/>
  <c r="I11" i="5" s="1"/>
  <c r="I12" i="5" s="1"/>
  <c r="I13" i="5" s="1"/>
  <c r="I14" i="5" s="1"/>
  <c r="I15" i="5" s="1"/>
  <c r="I16" i="5" s="1"/>
  <c r="I17" i="5" s="1"/>
  <c r="I18" i="5" s="1"/>
  <c r="I19" i="5" s="1"/>
  <c r="I20" i="5" s="1"/>
  <c r="I21" i="5" s="1"/>
  <c r="I22" i="5" s="1"/>
  <c r="I23" i="5" s="1"/>
  <c r="I24" i="5" s="1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F50" i="6"/>
  <c r="I50" i="6" s="1"/>
  <c r="I4" i="8"/>
  <c r="I5" i="8" s="1"/>
  <c r="I6" i="8" s="1"/>
  <c r="I7" i="8" s="1"/>
  <c r="I8" i="8" s="1"/>
  <c r="I9" i="8" s="1"/>
  <c r="I10" i="8" s="1"/>
  <c r="I11" i="8" s="1"/>
  <c r="I12" i="8" s="1"/>
  <c r="I13" i="8" s="1"/>
  <c r="I14" i="8" s="1"/>
  <c r="I15" i="8" s="1"/>
  <c r="I16" i="8" s="1"/>
  <c r="I17" i="8" s="1"/>
  <c r="I18" i="8" s="1"/>
  <c r="I19" i="8" s="1"/>
  <c r="I20" i="8" s="1"/>
  <c r="I21" i="8" s="1"/>
  <c r="I22" i="8" s="1"/>
  <c r="I23" i="8" s="1"/>
  <c r="I24" i="8" s="1"/>
  <c r="I25" i="8" s="1"/>
  <c r="I26" i="8" s="1"/>
  <c r="I27" i="8" s="1"/>
  <c r="I28" i="8" s="1"/>
  <c r="I29" i="8" s="1"/>
  <c r="I30" i="8" s="1"/>
  <c r="I31" i="8" s="1"/>
  <c r="I32" i="8" s="1"/>
  <c r="I33" i="8" s="1"/>
  <c r="I34" i="8" s="1"/>
  <c r="I35" i="8" s="1"/>
  <c r="I36" i="8" s="1"/>
  <c r="I37" i="8" s="1"/>
  <c r="I38" i="8" s="1"/>
  <c r="I39" i="8" s="1"/>
  <c r="I40" i="8" s="1"/>
  <c r="I41" i="8" s="1"/>
  <c r="I42" i="8" s="1"/>
  <c r="I43" i="8" s="1"/>
  <c r="I44" i="8" s="1"/>
  <c r="I45" i="8" s="1"/>
  <c r="I46" i="8" s="1"/>
  <c r="I47" i="8" s="1"/>
  <c r="F48" i="7"/>
  <c r="I48" i="7" s="1"/>
  <c r="I4" i="9"/>
  <c r="I4" i="6"/>
  <c r="I5" i="6" s="1"/>
  <c r="I6" i="6" s="1"/>
  <c r="I7" i="6" s="1"/>
  <c r="I8" i="6" s="1"/>
  <c r="I9" i="6" s="1"/>
  <c r="I10" i="6" s="1"/>
  <c r="I11" i="6" s="1"/>
  <c r="I12" i="6" s="1"/>
  <c r="I13" i="6" s="1"/>
  <c r="I14" i="6" s="1"/>
  <c r="I15" i="6" s="1"/>
  <c r="I16" i="6" s="1"/>
  <c r="I17" i="6" s="1"/>
  <c r="I18" i="6" s="1"/>
  <c r="I19" i="6" s="1"/>
  <c r="I20" i="6" s="1"/>
  <c r="I21" i="6" s="1"/>
  <c r="I22" i="6" s="1"/>
  <c r="I23" i="6" s="1"/>
  <c r="I24" i="6" s="1"/>
  <c r="I25" i="6" s="1"/>
  <c r="I26" i="6" s="1"/>
  <c r="I27" i="6" s="1"/>
  <c r="I28" i="6" s="1"/>
  <c r="I29" i="6" s="1"/>
  <c r="I30" i="6" s="1"/>
  <c r="I31" i="6" s="1"/>
  <c r="I32" i="6" s="1"/>
  <c r="I33" i="6" s="1"/>
  <c r="I34" i="6" s="1"/>
  <c r="I35" i="6" s="1"/>
  <c r="I36" i="6" s="1"/>
  <c r="I37" i="6" s="1"/>
  <c r="I38" i="6" s="1"/>
  <c r="I39" i="6" s="1"/>
  <c r="I40" i="6" s="1"/>
  <c r="I41" i="6" s="1"/>
  <c r="I42" i="6" s="1"/>
  <c r="I43" i="3"/>
  <c r="I44" i="3" s="1"/>
  <c r="I45" i="3" s="1"/>
  <c r="I46" i="3" s="1"/>
  <c r="I47" i="3" s="1"/>
  <c r="I4" i="52" l="1"/>
  <c r="I5" i="52" s="1"/>
  <c r="I6" i="52" s="1"/>
  <c r="I7" i="52" s="1"/>
  <c r="I8" i="52" s="1"/>
  <c r="I9" i="52" s="1"/>
  <c r="I10" i="52" s="1"/>
  <c r="I11" i="52" s="1"/>
  <c r="I12" i="52" s="1"/>
  <c r="I13" i="52" s="1"/>
  <c r="I14" i="52" s="1"/>
  <c r="I15" i="52" s="1"/>
  <c r="I16" i="52" s="1"/>
  <c r="I17" i="52" s="1"/>
  <c r="I18" i="52" s="1"/>
  <c r="I19" i="52" s="1"/>
  <c r="I20" i="52" s="1"/>
  <c r="I21" i="52" s="1"/>
  <c r="I22" i="52" s="1"/>
  <c r="I23" i="52" s="1"/>
  <c r="I24" i="52" s="1"/>
  <c r="I25" i="52" s="1"/>
  <c r="I26" i="52" s="1"/>
  <c r="I27" i="52" s="1"/>
  <c r="I28" i="52" s="1"/>
  <c r="I29" i="52" s="1"/>
  <c r="I30" i="52" s="1"/>
  <c r="I31" i="52" s="1"/>
  <c r="I32" i="52" s="1"/>
  <c r="I33" i="52" s="1"/>
  <c r="I34" i="52" s="1"/>
  <c r="I35" i="52" s="1"/>
  <c r="I36" i="52" s="1"/>
  <c r="I37" i="52" s="1"/>
  <c r="I38" i="52" s="1"/>
  <c r="I39" i="52" s="1"/>
  <c r="I40" i="52" s="1"/>
  <c r="I41" i="52" s="1"/>
  <c r="I42" i="52" s="1"/>
  <c r="I43" i="52" s="1"/>
  <c r="I44" i="52" s="1"/>
  <c r="I45" i="52" s="1"/>
  <c r="I46" i="52" s="1"/>
  <c r="I47" i="52" s="1"/>
  <c r="I23" i="41"/>
  <c r="I24" i="41" s="1"/>
  <c r="I25" i="41" s="1"/>
  <c r="I26" i="41" s="1"/>
  <c r="I27" i="41" s="1"/>
  <c r="I28" i="41" s="1"/>
  <c r="I29" i="41" s="1"/>
  <c r="I30" i="41" s="1"/>
  <c r="I31" i="41" s="1"/>
  <c r="I32" i="41" s="1"/>
  <c r="I33" i="41" s="1"/>
  <c r="I34" i="41" s="1"/>
  <c r="I35" i="41" s="1"/>
  <c r="I36" i="41" s="1"/>
  <c r="I37" i="41" s="1"/>
  <c r="I38" i="41" s="1"/>
  <c r="I39" i="41" s="1"/>
  <c r="I40" i="41" s="1"/>
  <c r="I41" i="41" s="1"/>
  <c r="I42" i="41" s="1"/>
  <c r="I43" i="41" s="1"/>
  <c r="I44" i="41" s="1"/>
  <c r="I45" i="41" s="1"/>
  <c r="I46" i="41" s="1"/>
  <c r="I47" i="41" s="1"/>
  <c r="I48" i="41" s="1"/>
  <c r="I49" i="41" s="1"/>
  <c r="I50" i="41" s="1"/>
  <c r="I51" i="41" s="1"/>
  <c r="I5" i="9"/>
  <c r="I6" i="9" s="1"/>
  <c r="I7" i="9" s="1"/>
  <c r="I8" i="9" s="1"/>
  <c r="I9" i="9" s="1"/>
  <c r="I10" i="9" s="1"/>
  <c r="I11" i="9" s="1"/>
  <c r="I12" i="9" s="1"/>
  <c r="I13" i="9" s="1"/>
  <c r="I14" i="9" s="1"/>
  <c r="I15" i="9" s="1"/>
  <c r="I16" i="9" s="1"/>
  <c r="I17" i="9" s="1"/>
  <c r="I18" i="9" s="1"/>
  <c r="I19" i="9" s="1"/>
  <c r="I20" i="9" s="1"/>
  <c r="I21" i="9" s="1"/>
  <c r="I22" i="9" s="1"/>
  <c r="I23" i="9" s="1"/>
  <c r="I24" i="9" s="1"/>
  <c r="I25" i="9" s="1"/>
  <c r="I26" i="9" s="1"/>
  <c r="I27" i="9" s="1"/>
  <c r="I28" i="9" s="1"/>
  <c r="I29" i="9" s="1"/>
  <c r="I30" i="9" s="1"/>
  <c r="I31" i="9" s="1"/>
  <c r="I32" i="9" s="1"/>
  <c r="I33" i="9" s="1"/>
  <c r="I34" i="9" s="1"/>
  <c r="I35" i="9" s="1"/>
  <c r="I36" i="9" s="1"/>
  <c r="I37" i="9" s="1"/>
  <c r="I38" i="9" s="1"/>
  <c r="I39" i="9" s="1"/>
  <c r="I40" i="9" s="1"/>
  <c r="I41" i="9" s="1"/>
  <c r="I42" i="9" s="1"/>
  <c r="I43" i="9" s="1"/>
  <c r="I44" i="9" s="1"/>
  <c r="I45" i="9" s="1"/>
  <c r="I46" i="9" s="1"/>
  <c r="I47" i="9" s="1"/>
  <c r="I48" i="9" s="1"/>
  <c r="I49" i="9" s="1"/>
  <c r="I43" i="6"/>
  <c r="I44" i="6" s="1"/>
  <c r="I45" i="6" s="1"/>
  <c r="I46" i="6" s="1"/>
  <c r="I47" i="6" s="1"/>
  <c r="I48" i="6" s="1"/>
  <c r="I49" i="6" s="1"/>
  <c r="F49" i="56"/>
  <c r="I49" i="56" s="1"/>
  <c r="I2" i="56"/>
  <c r="I3" i="56" s="1"/>
  <c r="I4" i="56" s="1"/>
  <c r="I5" i="56" s="1"/>
  <c r="I6" i="56" s="1"/>
  <c r="I7" i="56" s="1"/>
  <c r="I8" i="56" s="1"/>
  <c r="I9" i="56" s="1"/>
  <c r="I10" i="56" s="1"/>
  <c r="I11" i="56" s="1"/>
  <c r="I12" i="56" s="1"/>
  <c r="I13" i="56" s="1"/>
  <c r="I14" i="56" s="1"/>
  <c r="I15" i="56" s="1"/>
  <c r="I16" i="56" s="1"/>
  <c r="I17" i="56" s="1"/>
  <c r="I18" i="56" s="1"/>
  <c r="I19" i="56" s="1"/>
  <c r="I20" i="56" s="1"/>
  <c r="I21" i="56" s="1"/>
  <c r="I22" i="56" s="1"/>
  <c r="I23" i="56" s="1"/>
  <c r="I24" i="56" s="1"/>
  <c r="I25" i="56" s="1"/>
  <c r="I26" i="56" s="1"/>
  <c r="I27" i="56" s="1"/>
  <c r="I28" i="56" s="1"/>
  <c r="I29" i="56" s="1"/>
  <c r="I30" i="56" s="1"/>
  <c r="I31" i="56" s="1"/>
  <c r="I32" i="56" s="1"/>
  <c r="I33" i="56" s="1"/>
  <c r="I34" i="56" s="1"/>
  <c r="I35" i="56" s="1"/>
  <c r="I36" i="56" s="1"/>
  <c r="I37" i="56" s="1"/>
  <c r="I38" i="56" s="1"/>
  <c r="I39" i="56" s="1"/>
  <c r="I40" i="56" s="1"/>
  <c r="I41" i="56" s="1"/>
  <c r="I42" i="56" s="1"/>
  <c r="I43" i="56" s="1"/>
  <c r="I44" i="56" s="1"/>
  <c r="I45" i="56" s="1"/>
  <c r="I46" i="56" s="1"/>
  <c r="I47" i="56" s="1"/>
  <c r="I48" i="56" s="1"/>
</calcChain>
</file>

<file path=xl/sharedStrings.xml><?xml version="1.0" encoding="utf-8"?>
<sst xmlns="http://schemas.openxmlformats.org/spreadsheetml/2006/main" count="1825" uniqueCount="188">
  <si>
    <t>振込・現金</t>
    <rPh sb="0" eb="2">
      <t>フリコミ</t>
    </rPh>
    <rPh sb="3" eb="5">
      <t>ゲンキン</t>
    </rPh>
    <phoneticPr fontId="1"/>
  </si>
  <si>
    <t>4月</t>
    <rPh sb="1" eb="2">
      <t>ガツ</t>
    </rPh>
    <phoneticPr fontId="1"/>
  </si>
  <si>
    <t>済</t>
    <rPh sb="0" eb="1">
      <t>スミ</t>
    </rPh>
    <phoneticPr fontId="1"/>
  </si>
  <si>
    <t>5月</t>
    <rPh sb="1" eb="2">
      <t>ガツ</t>
    </rPh>
    <phoneticPr fontId="1"/>
  </si>
  <si>
    <t>6月</t>
    <rPh sb="1" eb="2">
      <t>ガツ</t>
    </rPh>
    <phoneticPr fontId="1"/>
  </si>
  <si>
    <t>7月</t>
    <rPh sb="1" eb="2">
      <t>ガツ</t>
    </rPh>
    <phoneticPr fontId="1"/>
  </si>
  <si>
    <t>8月</t>
    <rPh sb="1" eb="2">
      <t>ガツ</t>
    </rPh>
    <phoneticPr fontId="1"/>
  </si>
  <si>
    <t>9月</t>
    <rPh sb="1" eb="2">
      <t>ガツ</t>
    </rPh>
    <phoneticPr fontId="1"/>
  </si>
  <si>
    <t>10月</t>
    <rPh sb="2" eb="3">
      <t>ガツ</t>
    </rPh>
    <phoneticPr fontId="1"/>
  </si>
  <si>
    <t>11月</t>
    <rPh sb="2" eb="3">
      <t>ガツ</t>
    </rPh>
    <phoneticPr fontId="1"/>
  </si>
  <si>
    <t>12月</t>
    <rPh sb="2" eb="3">
      <t>ガツ</t>
    </rPh>
    <phoneticPr fontId="1"/>
  </si>
  <si>
    <t>1月</t>
    <rPh sb="1" eb="2">
      <t>ガツ</t>
    </rPh>
    <phoneticPr fontId="1"/>
  </si>
  <si>
    <t>2月</t>
    <rPh sb="1" eb="2">
      <t>ガツ</t>
    </rPh>
    <phoneticPr fontId="1"/>
  </si>
  <si>
    <t>3/20〆</t>
    <phoneticPr fontId="1"/>
  </si>
  <si>
    <t>3/31〆</t>
    <phoneticPr fontId="1"/>
  </si>
  <si>
    <t>3月</t>
    <rPh sb="1" eb="2">
      <t>ガツ</t>
    </rPh>
    <phoneticPr fontId="1"/>
  </si>
  <si>
    <t>出雲採石</t>
    <rPh sb="0" eb="4">
      <t>イズモサイセキ</t>
    </rPh>
    <phoneticPr fontId="1"/>
  </si>
  <si>
    <t>振込</t>
  </si>
  <si>
    <t>✓</t>
  </si>
  <si>
    <t>出雲BCクリーン</t>
    <rPh sb="0" eb="2">
      <t>イズモ</t>
    </rPh>
    <phoneticPr fontId="1"/>
  </si>
  <si>
    <t>伊藤畳</t>
    <rPh sb="0" eb="2">
      <t>イトウ</t>
    </rPh>
    <rPh sb="2" eb="3">
      <t>タタミ</t>
    </rPh>
    <phoneticPr fontId="1"/>
  </si>
  <si>
    <t>イマックス</t>
    <phoneticPr fontId="1"/>
  </si>
  <si>
    <t>インテリ屋のり</t>
    <rPh sb="4" eb="5">
      <t>ヤ</t>
    </rPh>
    <phoneticPr fontId="1"/>
  </si>
  <si>
    <t>内田</t>
    <rPh sb="0" eb="2">
      <t>ウチダ</t>
    </rPh>
    <phoneticPr fontId="1"/>
  </si>
  <si>
    <t>Nカラー</t>
    <phoneticPr fontId="1"/>
  </si>
  <si>
    <t>エムエイチ</t>
    <phoneticPr fontId="1"/>
  </si>
  <si>
    <t>OKリース</t>
    <phoneticPr fontId="1"/>
  </si>
  <si>
    <t>太田建材</t>
    <rPh sb="0" eb="2">
      <t>オオタ</t>
    </rPh>
    <rPh sb="2" eb="4">
      <t>ケンザイ</t>
    </rPh>
    <phoneticPr fontId="1"/>
  </si>
  <si>
    <t>大森土建</t>
    <rPh sb="0" eb="2">
      <t>オオモリ</t>
    </rPh>
    <rPh sb="2" eb="4">
      <t>ドケン</t>
    </rPh>
    <phoneticPr fontId="1"/>
  </si>
  <si>
    <t>小村分店</t>
    <rPh sb="0" eb="4">
      <t>オムラブンテン</t>
    </rPh>
    <phoneticPr fontId="1"/>
  </si>
  <si>
    <t>海潮産業</t>
    <rPh sb="0" eb="1">
      <t>ウミ</t>
    </rPh>
    <rPh sb="1" eb="2">
      <t>シオ</t>
    </rPh>
    <rPh sb="2" eb="4">
      <t>サンギョウ</t>
    </rPh>
    <phoneticPr fontId="1"/>
  </si>
  <si>
    <t>兼折左工所</t>
    <rPh sb="0" eb="5">
      <t>カネオリサコウショ</t>
    </rPh>
    <phoneticPr fontId="1"/>
  </si>
  <si>
    <t>釜屋塗装</t>
    <rPh sb="0" eb="4">
      <t>カマヤトソウ</t>
    </rPh>
    <phoneticPr fontId="1"/>
  </si>
  <si>
    <t>島根サッシ</t>
    <rPh sb="0" eb="2">
      <t>シマネ</t>
    </rPh>
    <phoneticPr fontId="1"/>
  </si>
  <si>
    <t>高橋セメント</t>
    <rPh sb="0" eb="2">
      <t>タカハシ</t>
    </rPh>
    <phoneticPr fontId="1"/>
  </si>
  <si>
    <t>恒松設備</t>
    <rPh sb="0" eb="2">
      <t>ツネマツ</t>
    </rPh>
    <rPh sb="2" eb="4">
      <t>セツビ</t>
    </rPh>
    <phoneticPr fontId="1"/>
  </si>
  <si>
    <t>日晃電設</t>
    <rPh sb="0" eb="2">
      <t>ニッコウ</t>
    </rPh>
    <rPh sb="2" eb="4">
      <t>デンセツ</t>
    </rPh>
    <phoneticPr fontId="1"/>
  </si>
  <si>
    <t>バーンフィールド</t>
    <phoneticPr fontId="1"/>
  </si>
  <si>
    <t>早見木工</t>
    <rPh sb="0" eb="2">
      <t>ハヤミ</t>
    </rPh>
    <rPh sb="2" eb="4">
      <t>モッコウ</t>
    </rPh>
    <phoneticPr fontId="1"/>
  </si>
  <si>
    <t>平田クレーン</t>
    <rPh sb="0" eb="2">
      <t>ヒラタ</t>
    </rPh>
    <phoneticPr fontId="1"/>
  </si>
  <si>
    <t>現金</t>
  </si>
  <si>
    <t>フクマ住設</t>
    <rPh sb="3" eb="5">
      <t>ジュウセツ</t>
    </rPh>
    <phoneticPr fontId="1"/>
  </si>
  <si>
    <t>藤江板金</t>
    <rPh sb="0" eb="2">
      <t>フジエ</t>
    </rPh>
    <rPh sb="2" eb="4">
      <t>バンキン</t>
    </rPh>
    <phoneticPr fontId="1"/>
  </si>
  <si>
    <t>プレコ</t>
    <phoneticPr fontId="1"/>
  </si>
  <si>
    <t>ホリオ機械</t>
    <rPh sb="3" eb="5">
      <t>キカイ</t>
    </rPh>
    <phoneticPr fontId="1"/>
  </si>
  <si>
    <t>本田技建</t>
    <rPh sb="0" eb="2">
      <t>ホンダ</t>
    </rPh>
    <rPh sb="2" eb="3">
      <t>ワザ</t>
    </rPh>
    <rPh sb="3" eb="4">
      <t>ケン</t>
    </rPh>
    <phoneticPr fontId="1"/>
  </si>
  <si>
    <t>まるふく商事</t>
    <rPh sb="4" eb="6">
      <t>ショウジ</t>
    </rPh>
    <phoneticPr fontId="1"/>
  </si>
  <si>
    <t>ミヤジキ板金</t>
    <rPh sb="4" eb="6">
      <t>バンキン</t>
    </rPh>
    <phoneticPr fontId="1"/>
  </si>
  <si>
    <t>ムニリペア</t>
    <phoneticPr fontId="1"/>
  </si>
  <si>
    <t>持田土地家屋</t>
    <rPh sb="0" eb="2">
      <t>モチダ</t>
    </rPh>
    <rPh sb="2" eb="6">
      <t>トチカオク</t>
    </rPh>
    <phoneticPr fontId="1"/>
  </si>
  <si>
    <t>ゆみ設計室</t>
    <rPh sb="2" eb="4">
      <t>セッケイ</t>
    </rPh>
    <rPh sb="4" eb="5">
      <t>シツ</t>
    </rPh>
    <phoneticPr fontId="1"/>
  </si>
  <si>
    <t>グッドライフ</t>
  </si>
  <si>
    <t>テツカステン</t>
    <phoneticPr fontId="1"/>
  </si>
  <si>
    <t>（有）トラストホーム</t>
    <rPh sb="0" eb="3">
      <t>ユウ</t>
    </rPh>
    <phoneticPr fontId="1"/>
  </si>
  <si>
    <t>経費</t>
    <rPh sb="0" eb="2">
      <t>ケイヒ</t>
    </rPh>
    <phoneticPr fontId="1"/>
  </si>
  <si>
    <t>エスペランサ</t>
    <phoneticPr fontId="1"/>
  </si>
  <si>
    <t>北脇酒店</t>
    <rPh sb="0" eb="2">
      <t>キタワキ</t>
    </rPh>
    <rPh sb="2" eb="3">
      <t>サケ</t>
    </rPh>
    <rPh sb="3" eb="4">
      <t>テン</t>
    </rPh>
    <phoneticPr fontId="1"/>
  </si>
  <si>
    <t>山陰中央SC</t>
    <rPh sb="0" eb="2">
      <t>サンイン</t>
    </rPh>
    <rPh sb="2" eb="4">
      <t>チュウオウ</t>
    </rPh>
    <phoneticPr fontId="1"/>
  </si>
  <si>
    <t>西村印刷</t>
    <rPh sb="0" eb="2">
      <t>ニシムラ</t>
    </rPh>
    <rPh sb="2" eb="4">
      <t>インサツ</t>
    </rPh>
    <phoneticPr fontId="1"/>
  </si>
  <si>
    <t>ムーンライトF</t>
    <phoneticPr fontId="1"/>
  </si>
  <si>
    <t>島根ワイナリー</t>
    <rPh sb="0" eb="2">
      <t>シマネ</t>
    </rPh>
    <phoneticPr fontId="1"/>
  </si>
  <si>
    <t>ＳＣアドクロス</t>
    <phoneticPr fontId="1"/>
  </si>
  <si>
    <t>日日新聞</t>
    <rPh sb="0" eb="4">
      <t>ニチニチシンブン</t>
    </rPh>
    <phoneticPr fontId="1"/>
  </si>
  <si>
    <t>XXXX</t>
    <phoneticPr fontId="1"/>
  </si>
  <si>
    <t>恵運社印刷</t>
    <rPh sb="0" eb="1">
      <t>メグ</t>
    </rPh>
    <rPh sb="1" eb="2">
      <t>ウン</t>
    </rPh>
    <rPh sb="2" eb="3">
      <t>シャ</t>
    </rPh>
    <rPh sb="3" eb="5">
      <t>インサツ</t>
    </rPh>
    <phoneticPr fontId="1"/>
  </si>
  <si>
    <t>小村分店振込</t>
    <rPh sb="0" eb="4">
      <t>オムラブンテン</t>
    </rPh>
    <rPh sb="4" eb="6">
      <t>フリコミ</t>
    </rPh>
    <phoneticPr fontId="1"/>
  </si>
  <si>
    <t>現金合計</t>
    <rPh sb="0" eb="2">
      <t>ゲンキン</t>
    </rPh>
    <rPh sb="2" eb="4">
      <t>ゴウケイ</t>
    </rPh>
    <phoneticPr fontId="1"/>
  </si>
  <si>
    <t>振込合計</t>
    <rPh sb="0" eb="2">
      <t>フリコミ</t>
    </rPh>
    <rPh sb="2" eb="4">
      <t>ゴウケイ</t>
    </rPh>
    <phoneticPr fontId="1"/>
  </si>
  <si>
    <t>全体合計</t>
    <rPh sb="0" eb="2">
      <t>ゼンタイ</t>
    </rPh>
    <rPh sb="2" eb="4">
      <t>ゴウケイ</t>
    </rPh>
    <phoneticPr fontId="1"/>
  </si>
  <si>
    <t>SCアドクロス振込先：山陰合同銀行　北支店（普通）4007238　　名義./エスシーアドクロス（カ</t>
    <rPh sb="7" eb="10">
      <t>フリコミサキ</t>
    </rPh>
    <rPh sb="11" eb="13">
      <t>サンイン</t>
    </rPh>
    <rPh sb="13" eb="17">
      <t>ゴウドウギンコウ</t>
    </rPh>
    <rPh sb="18" eb="19">
      <t>キタ</t>
    </rPh>
    <rPh sb="19" eb="21">
      <t>シテン</t>
    </rPh>
    <rPh sb="22" eb="24">
      <t>フツウ</t>
    </rPh>
    <rPh sb="34" eb="36">
      <t>メイギ</t>
    </rPh>
    <phoneticPr fontId="13"/>
  </si>
  <si>
    <t>日日新聞振込先：山陰合同銀行　出雲支店（普）3893684　振込手数料はひろはうすで負担してほしいとの記載有</t>
    <rPh sb="0" eb="2">
      <t>ニチニチ</t>
    </rPh>
    <rPh sb="2" eb="4">
      <t>シンブン</t>
    </rPh>
    <rPh sb="4" eb="7">
      <t>フリコミサキ</t>
    </rPh>
    <rPh sb="8" eb="12">
      <t>サンインゴウドウ</t>
    </rPh>
    <rPh sb="12" eb="14">
      <t>ギンコウ</t>
    </rPh>
    <rPh sb="15" eb="19">
      <t>イズモシテン</t>
    </rPh>
    <rPh sb="20" eb="21">
      <t>フ</t>
    </rPh>
    <rPh sb="30" eb="32">
      <t>フリコミ</t>
    </rPh>
    <rPh sb="32" eb="35">
      <t>テスウリョウ</t>
    </rPh>
    <rPh sb="42" eb="44">
      <t>フタン</t>
    </rPh>
    <rPh sb="51" eb="53">
      <t>キサイ</t>
    </rPh>
    <rPh sb="53" eb="54">
      <t>アリ</t>
    </rPh>
    <phoneticPr fontId="13"/>
  </si>
  <si>
    <t>恵運社印刷：山陰合同銀行　平田支店（普）3787711　</t>
    <rPh sb="0" eb="1">
      <t>メグ</t>
    </rPh>
    <rPh sb="1" eb="2">
      <t>ウン</t>
    </rPh>
    <rPh sb="2" eb="3">
      <t>シャ</t>
    </rPh>
    <rPh sb="3" eb="5">
      <t>インサツ</t>
    </rPh>
    <rPh sb="6" eb="8">
      <t>サンイン</t>
    </rPh>
    <rPh sb="8" eb="12">
      <t>ゴウドウギンコウ</t>
    </rPh>
    <rPh sb="13" eb="15">
      <t>ヒラタ</t>
    </rPh>
    <rPh sb="15" eb="17">
      <t>シテン</t>
    </rPh>
    <rPh sb="18" eb="19">
      <t>フ</t>
    </rPh>
    <phoneticPr fontId="13"/>
  </si>
  <si>
    <t>グッドライフ：合銀　島根医大通支店　（普）3746239　カ）グッドライフ</t>
  </si>
  <si>
    <t>テツカステン：合銀　平田支店　（普）3655230　オガタヒトミ</t>
    <rPh sb="7" eb="9">
      <t>ゴウギン</t>
    </rPh>
    <rPh sb="10" eb="14">
      <t>ヒラタシテン</t>
    </rPh>
    <rPh sb="16" eb="17">
      <t>フ</t>
    </rPh>
    <phoneticPr fontId="13"/>
  </si>
  <si>
    <t>トラストホーム：合銀　宍道出張所　（普）3603510　有限会社トラストホーム　代表取締役　糸川忠司</t>
    <rPh sb="8" eb="10">
      <t>ゴウギン</t>
    </rPh>
    <rPh sb="11" eb="16">
      <t>シンジシュッチョウショ</t>
    </rPh>
    <rPh sb="18" eb="19">
      <t>フ</t>
    </rPh>
    <rPh sb="28" eb="32">
      <t>ユウゲンカイシャ</t>
    </rPh>
    <rPh sb="40" eb="45">
      <t>ダイトリ</t>
    </rPh>
    <rPh sb="46" eb="48">
      <t>イトガワ</t>
    </rPh>
    <rPh sb="48" eb="50">
      <t>タダシ</t>
    </rPh>
    <phoneticPr fontId="13"/>
  </si>
  <si>
    <t>日付</t>
    <rPh sb="0" eb="2">
      <t>ヒヅケ</t>
    </rPh>
    <phoneticPr fontId="1"/>
  </si>
  <si>
    <t>現場名</t>
    <rPh sb="0" eb="3">
      <t>ゲンバメイ</t>
    </rPh>
    <phoneticPr fontId="1"/>
  </si>
  <si>
    <t>品名</t>
    <rPh sb="0" eb="2">
      <t>ヒンメイ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</si>
  <si>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</si>
  <si>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</si>
  <si>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仕入金額</t>
    <rPh sb="0" eb="4">
      <t>シイレキンガク</t>
    </rPh>
    <phoneticPr fontId="1"/>
  </si>
  <si>
    <t>支払方法</t>
    <rPh sb="0" eb="2">
      <t>シハライ</t>
    </rPh>
    <rPh sb="2" eb="4">
      <t>ホウホウ</t>
    </rPh>
    <phoneticPr fontId="1"/>
  </si>
  <si>
    <t>支払金額</t>
    <rPh sb="0" eb="2">
      <t>シハライ</t>
    </rPh>
    <rPh sb="2" eb="4">
      <t>キンガク</t>
    </rPh>
    <phoneticPr fontId="1"/>
  </si>
  <si>
    <t>差引残高</t>
    <rPh sb="0" eb="2">
      <t>サシヒキ</t>
    </rPh>
    <rPh sb="2" eb="4">
      <t>ザンダカ</t>
    </rPh>
    <phoneticPr fontId="1"/>
  </si>
  <si>
    <t>ソフト入力</t>
    <rPh sb="3" eb="5">
      <t>ニュウリョク</t>
    </rPh>
    <phoneticPr fontId="1"/>
  </si>
  <si>
    <t>裕子</t>
    <rPh sb="0" eb="2">
      <t>ユウコ</t>
    </rPh>
    <phoneticPr fontId="1"/>
  </si>
  <si>
    <t>集計</t>
  </si>
  <si>
    <t>合計</t>
    <rPh sb="0" eb="2">
      <t>ゴウケイ</t>
    </rPh>
    <phoneticPr fontId="1"/>
  </si>
  <si>
    <t>前期繰越</t>
    <rPh sb="0" eb="2">
      <t>ゼンキ</t>
    </rPh>
    <rPh sb="2" eb="4">
      <t>クリコシ</t>
    </rPh>
    <phoneticPr fontId="1"/>
  </si>
  <si>
    <t>済</t>
  </si>
  <si>
    <t>合銀1</t>
  </si>
  <si>
    <t>振込手数</t>
  </si>
  <si>
    <t>高木</t>
  </si>
  <si>
    <t>地盤調査</t>
    <rPh sb="0" eb="4">
      <t>ジバンチョウサ</t>
    </rPh>
    <phoneticPr fontId="1"/>
  </si>
  <si>
    <t>地盤保証</t>
    <rPh sb="0" eb="4">
      <t>ジバンホショウ</t>
    </rPh>
    <phoneticPr fontId="1"/>
  </si>
  <si>
    <t>勝田</t>
  </si>
  <si>
    <t>調査・保証</t>
    <rPh sb="0" eb="2">
      <t>チョウサ</t>
    </rPh>
    <rPh sb="3" eb="5">
      <t>ホショウ</t>
    </rPh>
    <phoneticPr fontId="1"/>
  </si>
  <si>
    <t>その他</t>
  </si>
  <si>
    <t>佐藤邸補修</t>
    <rPh sb="0" eb="2">
      <t>サトウ</t>
    </rPh>
    <rPh sb="2" eb="3">
      <t>テイ</t>
    </rPh>
    <rPh sb="3" eb="5">
      <t>ホシュウ</t>
    </rPh>
    <phoneticPr fontId="1"/>
  </si>
  <si>
    <t>須山邸補修</t>
    <rPh sb="0" eb="3">
      <t>スヤマテイ</t>
    </rPh>
    <rPh sb="3" eb="5">
      <t>ホシュウ</t>
    </rPh>
    <phoneticPr fontId="1"/>
  </si>
  <si>
    <t>奥村邸補修</t>
    <rPh sb="0" eb="2">
      <t>オクムラ</t>
    </rPh>
    <rPh sb="2" eb="3">
      <t>テイ</t>
    </rPh>
    <rPh sb="3" eb="5">
      <t>ホシュウ</t>
    </rPh>
    <phoneticPr fontId="1"/>
  </si>
  <si>
    <t>田原</t>
  </si>
  <si>
    <t>木材</t>
    <rPh sb="0" eb="2">
      <t>モクザイ</t>
    </rPh>
    <phoneticPr fontId="1"/>
  </si>
  <si>
    <t>建材</t>
    <rPh sb="0" eb="2">
      <t>ケンザイ</t>
    </rPh>
    <phoneticPr fontId="1"/>
  </si>
  <si>
    <t>田中</t>
  </si>
  <si>
    <t>預かり</t>
    <rPh sb="0" eb="1">
      <t>アズ</t>
    </rPh>
    <phoneticPr fontId="1"/>
  </si>
  <si>
    <t>住設</t>
    <rPh sb="0" eb="2">
      <t>ジュウセツ</t>
    </rPh>
    <phoneticPr fontId="1"/>
  </si>
  <si>
    <t>佐々木　建材</t>
    <rPh sb="0" eb="3">
      <t>ササキ</t>
    </rPh>
    <rPh sb="4" eb="6">
      <t>ケンザイ</t>
    </rPh>
    <phoneticPr fontId="1"/>
  </si>
  <si>
    <t>石川　住設</t>
    <rPh sb="0" eb="2">
      <t>イシカワ</t>
    </rPh>
    <rPh sb="3" eb="5">
      <t>ジュウセツ</t>
    </rPh>
    <phoneticPr fontId="1"/>
  </si>
  <si>
    <t>預かり　建材</t>
    <rPh sb="0" eb="1">
      <t>アズ</t>
    </rPh>
    <rPh sb="4" eb="6">
      <t>ケンザイ</t>
    </rPh>
    <phoneticPr fontId="1"/>
  </si>
  <si>
    <t>預かり　住設</t>
    <rPh sb="0" eb="1">
      <t>アズ</t>
    </rPh>
    <rPh sb="4" eb="6">
      <t>ジュウセツ</t>
    </rPh>
    <phoneticPr fontId="1"/>
  </si>
  <si>
    <t>落合　建材</t>
    <rPh sb="0" eb="2">
      <t>オチアイ</t>
    </rPh>
    <rPh sb="3" eb="5">
      <t>ケンザイ</t>
    </rPh>
    <phoneticPr fontId="1"/>
  </si>
  <si>
    <t>預かり　木材</t>
    <rPh sb="0" eb="1">
      <t>アズ</t>
    </rPh>
    <rPh sb="4" eb="6">
      <t>モクザイ</t>
    </rPh>
    <phoneticPr fontId="1"/>
  </si>
  <si>
    <t>奥村邸　補修</t>
    <rPh sb="0" eb="2">
      <t>オクムラ</t>
    </rPh>
    <rPh sb="2" eb="3">
      <t>テイ</t>
    </rPh>
    <rPh sb="4" eb="6">
      <t>ホシュウ</t>
    </rPh>
    <phoneticPr fontId="1"/>
  </si>
  <si>
    <t>松尾　外壁</t>
    <rPh sb="0" eb="2">
      <t>マツオ</t>
    </rPh>
    <rPh sb="3" eb="5">
      <t>ガイヘキ</t>
    </rPh>
    <phoneticPr fontId="1"/>
  </si>
  <si>
    <t>断熱</t>
    <rPh sb="0" eb="2">
      <t>ダンネツ</t>
    </rPh>
    <phoneticPr fontId="1"/>
  </si>
  <si>
    <t>外壁</t>
    <rPh sb="0" eb="2">
      <t>ガイヘキ</t>
    </rPh>
    <phoneticPr fontId="1"/>
  </si>
  <si>
    <t>工具</t>
    <rPh sb="0" eb="2">
      <t>コウグ</t>
    </rPh>
    <phoneticPr fontId="1"/>
  </si>
  <si>
    <t>事務所</t>
    <rPh sb="0" eb="3">
      <t>ジムショ</t>
    </rPh>
    <phoneticPr fontId="1"/>
  </si>
  <si>
    <t>在庫</t>
    <rPh sb="0" eb="2">
      <t>ザイコ</t>
    </rPh>
    <phoneticPr fontId="1"/>
  </si>
  <si>
    <t>タイヤ代</t>
    <rPh sb="3" eb="4">
      <t>ダイ</t>
    </rPh>
    <phoneticPr fontId="1"/>
  </si>
  <si>
    <t>前期繰越</t>
    <rPh sb="0" eb="4">
      <t>ゼンキクリコシ</t>
    </rPh>
    <phoneticPr fontId="1"/>
  </si>
  <si>
    <t>合銀</t>
  </si>
  <si>
    <t>ガソリン</t>
    <phoneticPr fontId="1"/>
  </si>
  <si>
    <t>JA</t>
  </si>
  <si>
    <t>恩田</t>
    <rPh sb="0" eb="2">
      <t>オンダ</t>
    </rPh>
    <phoneticPr fontId="1"/>
  </si>
  <si>
    <t>石川</t>
    <rPh sb="0" eb="2">
      <t>イシカワ</t>
    </rPh>
    <phoneticPr fontId="1"/>
  </si>
  <si>
    <t>松田　</t>
    <rPh sb="0" eb="2">
      <t>マツダ</t>
    </rPh>
    <phoneticPr fontId="1"/>
  </si>
  <si>
    <t>立替</t>
    <rPh sb="0" eb="2">
      <t>タテカエ</t>
    </rPh>
    <phoneticPr fontId="1"/>
  </si>
  <si>
    <t>舟木</t>
    <rPh sb="0" eb="2">
      <t>フナキ</t>
    </rPh>
    <phoneticPr fontId="1"/>
  </si>
  <si>
    <t>値引</t>
  </si>
  <si>
    <t>佐々木</t>
    <rPh sb="0" eb="3">
      <t>ササキ</t>
    </rPh>
    <phoneticPr fontId="1"/>
  </si>
  <si>
    <t>本間</t>
    <rPh sb="0" eb="2">
      <t>ホンマ</t>
    </rPh>
    <phoneticPr fontId="1"/>
  </si>
  <si>
    <t>品川</t>
    <rPh sb="0" eb="2">
      <t>シナガワ</t>
    </rPh>
    <phoneticPr fontId="1"/>
  </si>
  <si>
    <t>板金</t>
    <rPh sb="0" eb="2">
      <t>バンキン</t>
    </rPh>
    <phoneticPr fontId="1"/>
  </si>
  <si>
    <t>列2</t>
  </si>
  <si>
    <t>グッドライフ　防蟻</t>
    <rPh sb="7" eb="9">
      <t>ボウギ</t>
    </rPh>
    <phoneticPr fontId="1"/>
  </si>
  <si>
    <t>グッドライフ：合銀　島根医大通支店　（普）3746239　カ）グッドライフ</t>
    <phoneticPr fontId="1"/>
  </si>
  <si>
    <t>テツカステン　アイアン</t>
    <phoneticPr fontId="1"/>
  </si>
  <si>
    <t>テツカステン：合銀　平田支店　（普）3655230　オガタヒトミ</t>
    <rPh sb="7" eb="9">
      <t>ゴウギン</t>
    </rPh>
    <rPh sb="10" eb="14">
      <t>ヒラタシテン</t>
    </rPh>
    <rPh sb="16" eb="17">
      <t>フ</t>
    </rPh>
    <phoneticPr fontId="1"/>
  </si>
  <si>
    <t>トラストホーム　造成</t>
    <rPh sb="8" eb="10">
      <t>ゾウセイ</t>
    </rPh>
    <phoneticPr fontId="1"/>
  </si>
  <si>
    <t>トラストホーム：合銀　宍道出張所　（普）3603510　有限会社トラストホーム　代表取締役　糸川忠司</t>
    <rPh sb="8" eb="10">
      <t>ゴウギン</t>
    </rPh>
    <rPh sb="11" eb="16">
      <t>シンジシュッチョウショ</t>
    </rPh>
    <rPh sb="18" eb="19">
      <t>フ</t>
    </rPh>
    <rPh sb="28" eb="32">
      <t>ユウゲンカイシャ</t>
    </rPh>
    <rPh sb="40" eb="45">
      <t>ダイトリ</t>
    </rPh>
    <rPh sb="46" eb="48">
      <t>イトガワ</t>
    </rPh>
    <rPh sb="48" eb="50">
      <t>タダシ</t>
    </rPh>
    <phoneticPr fontId="1"/>
  </si>
  <si>
    <t>インサルパックGSガンフォーム</t>
    <phoneticPr fontId="1"/>
  </si>
  <si>
    <t>ブルーカラーシート</t>
    <phoneticPr fontId="1"/>
  </si>
  <si>
    <t>マグナムシールド</t>
  </si>
  <si>
    <t>ガラ袋</t>
    <rPh sb="2" eb="3">
      <t>ブクロ</t>
    </rPh>
    <phoneticPr fontId="1"/>
  </si>
  <si>
    <t>アンカーボルト</t>
    <phoneticPr fontId="1"/>
  </si>
  <si>
    <t>送料</t>
    <rPh sb="0" eb="2">
      <t>ソウリョウ</t>
    </rPh>
    <phoneticPr fontId="1"/>
  </si>
  <si>
    <t>養生材プロテクトシート</t>
    <rPh sb="0" eb="3">
      <t>ヨウジョウザイ</t>
    </rPh>
    <phoneticPr fontId="1"/>
  </si>
  <si>
    <t>会長　アルミ金物</t>
    <rPh sb="0" eb="2">
      <t>カイチョウ</t>
    </rPh>
    <rPh sb="6" eb="8">
      <t>カナモノ</t>
    </rPh>
    <phoneticPr fontId="1"/>
  </si>
  <si>
    <t>エースクロス黒</t>
    <rPh sb="6" eb="7">
      <t>クロ</t>
    </rPh>
    <phoneticPr fontId="1"/>
  </si>
  <si>
    <t>マスキング養生シート</t>
    <rPh sb="5" eb="7">
      <t>ヨウジョウ</t>
    </rPh>
    <phoneticPr fontId="1"/>
  </si>
  <si>
    <t>クレープテープ</t>
    <phoneticPr fontId="1"/>
  </si>
  <si>
    <t>JOTO床下点検口</t>
    <rPh sb="4" eb="6">
      <t>ユカシタ</t>
    </rPh>
    <rPh sb="6" eb="8">
      <t>テンケン</t>
    </rPh>
    <rPh sb="8" eb="9">
      <t>クチ</t>
    </rPh>
    <phoneticPr fontId="1"/>
  </si>
  <si>
    <t>消耗品　現場用チリ袋</t>
    <rPh sb="0" eb="3">
      <t>ショウモウヒン</t>
    </rPh>
    <rPh sb="4" eb="7">
      <t>ゲンバヨウ</t>
    </rPh>
    <rPh sb="9" eb="10">
      <t>ブクロ</t>
    </rPh>
    <phoneticPr fontId="1"/>
  </si>
  <si>
    <t>アルミアングル厚口</t>
    <rPh sb="7" eb="8">
      <t>アツ</t>
    </rPh>
    <rPh sb="8" eb="9">
      <t>クチ</t>
    </rPh>
    <phoneticPr fontId="1"/>
  </si>
  <si>
    <t>佐々木　ブルーカラーシート</t>
    <rPh sb="0" eb="3">
      <t>ササキ</t>
    </rPh>
    <phoneticPr fontId="1"/>
  </si>
  <si>
    <t>ステンレス巻パイプ</t>
    <rPh sb="5" eb="6">
      <t>マキ</t>
    </rPh>
    <phoneticPr fontId="1"/>
  </si>
  <si>
    <t>32φD型ソケット</t>
    <rPh sb="4" eb="5">
      <t>ガタ</t>
    </rPh>
    <phoneticPr fontId="1"/>
  </si>
  <si>
    <t>ロックポケット</t>
    <phoneticPr fontId="1"/>
  </si>
  <si>
    <t>ブログ他</t>
    <rPh sb="3" eb="4">
      <t>ホカ</t>
    </rPh>
    <phoneticPr fontId="1"/>
  </si>
  <si>
    <t>島銀</t>
  </si>
  <si>
    <t>佐藤邸塗装</t>
    <rPh sb="0" eb="2">
      <t>サトウ</t>
    </rPh>
    <rPh sb="2" eb="3">
      <t>テイ</t>
    </rPh>
    <rPh sb="3" eb="5">
      <t>トソウ</t>
    </rPh>
    <phoneticPr fontId="1"/>
  </si>
  <si>
    <t>事務所メッキン</t>
    <rPh sb="0" eb="2">
      <t>ジム</t>
    </rPh>
    <rPh sb="2" eb="3">
      <t>ショ</t>
    </rPh>
    <phoneticPr fontId="1"/>
  </si>
  <si>
    <t>恩田　コロナエコキュート</t>
    <rPh sb="0" eb="2">
      <t>オンダ</t>
    </rPh>
    <phoneticPr fontId="1"/>
  </si>
  <si>
    <t>恩田　コロナ脚カバー</t>
    <rPh sb="0" eb="2">
      <t>オンダ</t>
    </rPh>
    <rPh sb="6" eb="7">
      <t>アシ</t>
    </rPh>
    <phoneticPr fontId="1"/>
  </si>
  <si>
    <t>恩田　コロナプラロック</t>
    <rPh sb="0" eb="2">
      <t>オンダ</t>
    </rPh>
    <phoneticPr fontId="1"/>
  </si>
  <si>
    <t>スタイロフォーム</t>
    <phoneticPr fontId="1"/>
  </si>
  <si>
    <t>構造用合板</t>
    <rPh sb="0" eb="5">
      <t>コウゾウヨウゴウハン</t>
    </rPh>
    <phoneticPr fontId="1"/>
  </si>
  <si>
    <t>天井アルミ点検口</t>
    <rPh sb="0" eb="2">
      <t>テンジョウ</t>
    </rPh>
    <rPh sb="5" eb="8">
      <t>テンケンコウ</t>
    </rPh>
    <phoneticPr fontId="1"/>
  </si>
  <si>
    <t>オークラMクロス</t>
    <phoneticPr fontId="1"/>
  </si>
  <si>
    <t>マグナムシールド</t>
    <phoneticPr fontId="1"/>
  </si>
  <si>
    <t>タイベックシート</t>
    <phoneticPr fontId="1"/>
  </si>
  <si>
    <t>エースクロス</t>
    <phoneticPr fontId="1"/>
  </si>
  <si>
    <t>シリコンコーク</t>
    <phoneticPr fontId="1"/>
  </si>
  <si>
    <t>ブチルテープ両面</t>
    <rPh sb="6" eb="8">
      <t>リョウメン</t>
    </rPh>
    <phoneticPr fontId="1"/>
  </si>
  <si>
    <t>ウレタンボンド</t>
    <phoneticPr fontId="1"/>
  </si>
  <si>
    <t>床養生テープ</t>
    <rPh sb="0" eb="1">
      <t>ユカ</t>
    </rPh>
    <rPh sb="1" eb="3">
      <t>ヨウジョウ</t>
    </rPh>
    <phoneticPr fontId="1"/>
  </si>
  <si>
    <t>Pカットテープ</t>
    <phoneticPr fontId="1"/>
  </si>
  <si>
    <t>インサルパックGS</t>
    <phoneticPr fontId="1"/>
  </si>
  <si>
    <t>YR束</t>
    <rPh sb="2" eb="3">
      <t>ツカ</t>
    </rPh>
    <phoneticPr fontId="1"/>
  </si>
  <si>
    <t>山田</t>
    <rPh sb="0" eb="2">
      <t>ヤマダ</t>
    </rPh>
    <phoneticPr fontId="1"/>
  </si>
  <si>
    <t>江角</t>
    <rPh sb="0" eb="2">
      <t>エスミ</t>
    </rPh>
    <phoneticPr fontId="1"/>
  </si>
  <si>
    <t>酒代</t>
    <rPh sb="0" eb="1">
      <t>サケ</t>
    </rPh>
    <rPh sb="1" eb="2">
      <t>ダイ</t>
    </rPh>
    <phoneticPr fontId="1"/>
  </si>
  <si>
    <t>購読料　　　　　　山陰商工スタディ</t>
    <rPh sb="0" eb="3">
      <t>コウドクリョウ</t>
    </rPh>
    <rPh sb="9" eb="11">
      <t>サンイン</t>
    </rPh>
    <rPh sb="11" eb="13">
      <t>ショウコウ</t>
    </rPh>
    <phoneticPr fontId="1"/>
  </si>
  <si>
    <t>広告料　　　　　　SCアドクロス</t>
    <rPh sb="0" eb="3">
      <t>コウコクリョウ</t>
    </rPh>
    <phoneticPr fontId="1"/>
  </si>
  <si>
    <t>広告料　日日新聞</t>
    <rPh sb="0" eb="3">
      <t>コウコクリョウ</t>
    </rPh>
    <rPh sb="4" eb="8">
      <t>ニチニチシンブン</t>
    </rPh>
    <phoneticPr fontId="1"/>
  </si>
  <si>
    <t>作業服　恵運社印刷</t>
    <rPh sb="0" eb="3">
      <t>サギョウフク</t>
    </rPh>
    <rPh sb="4" eb="5">
      <t>メグミ</t>
    </rPh>
    <rPh sb="5" eb="6">
      <t>ウン</t>
    </rPh>
    <rPh sb="6" eb="7">
      <t>シャ</t>
    </rPh>
    <rPh sb="7" eb="9">
      <t>インサツ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</si>
</sst>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7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6"/>
      <name val="ＭＳ Ｐゴシック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rgb="FF000000"/>
      </bottom>
      <diagonal/>
    </border>
    <border>
      <left style="thin">
        <color theme="6"/>
      </left>
      <right style="thin">
        <color rgb="FF000000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10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176" fontId="0" fillId="0" borderId="3" xfId="0" applyNumberFormat="1" applyBorder="1">
      <alignment vertical="center"/>
    </xf>
    <xf numFmtId="176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6" fontId="0" fillId="0" borderId="9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2" fillId="0" borderId="7" xfId="0" applyFon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176" fontId="0" fillId="0" borderId="15" xfId="0" applyNumberForma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3" fillId="0" borderId="2" xfId="0" applyFont="1" applyBorder="1">
      <alignment vertical="center"/>
    </xf>
    <xf numFmtId="0" fontId="4" fillId="0" borderId="2" xfId="0" applyFont="1" applyBorder="1" applyAlignment="1">
      <alignment vertical="center" wrapText="1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5" fillId="0" borderId="1" xfId="0" applyFont="1" applyBorder="1">
      <alignment vertical="center"/>
    </xf>
    <xf numFmtId="0" fontId="3" fillId="0" borderId="2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0" borderId="1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38" fontId="0" fillId="0" borderId="2" xfId="1" applyFont="1" applyBorder="1">
      <alignment vertical="center"/>
    </xf>
    <xf numFmtId="38" fontId="0" fillId="0" borderId="5" xfId="1" applyFont="1" applyBorder="1">
      <alignment vertical="center"/>
    </xf>
    <xf numFmtId="38" fontId="0" fillId="0" borderId="1" xfId="1" applyFont="1" applyBorder="1">
      <alignment vertical="center"/>
    </xf>
    <xf numFmtId="38" fontId="0" fillId="0" borderId="16" xfId="1" applyFont="1" applyBorder="1">
      <alignment vertical="center"/>
    </xf>
    <xf numFmtId="38" fontId="0" fillId="0" borderId="17" xfId="1" applyFont="1" applyBorder="1">
      <alignment vertical="center"/>
    </xf>
    <xf numFmtId="38" fontId="0" fillId="0" borderId="10" xfId="1" applyFont="1" applyBorder="1">
      <alignment vertical="center"/>
    </xf>
    <xf numFmtId="38" fontId="0" fillId="0" borderId="14" xfId="1" applyFont="1" applyBorder="1">
      <alignment vertical="center"/>
    </xf>
    <xf numFmtId="38" fontId="0" fillId="0" borderId="11" xfId="1" applyFont="1" applyBorder="1">
      <alignment vertical="center"/>
    </xf>
    <xf numFmtId="38" fontId="0" fillId="0" borderId="12" xfId="1" applyFont="1" applyBorder="1">
      <alignment vertical="center"/>
    </xf>
    <xf numFmtId="38" fontId="0" fillId="0" borderId="0" xfId="1" applyFont="1">
      <alignment vertical="center"/>
    </xf>
    <xf numFmtId="38" fontId="6" fillId="0" borderId="10" xfId="0" applyNumberFormat="1" applyFont="1" applyBorder="1">
      <alignment vertical="center"/>
    </xf>
    <xf numFmtId="38" fontId="6" fillId="0" borderId="14" xfId="0" applyNumberFormat="1" applyFont="1" applyBorder="1">
      <alignment vertical="center"/>
    </xf>
    <xf numFmtId="38" fontId="0" fillId="0" borderId="10" xfId="0" applyNumberFormat="1" applyBorder="1">
      <alignment vertical="center"/>
    </xf>
    <xf numFmtId="38" fontId="0" fillId="0" borderId="14" xfId="0" applyNumberFormat="1" applyBorder="1">
      <alignment vertical="center"/>
    </xf>
    <xf numFmtId="0" fontId="7" fillId="0" borderId="1" xfId="0" applyFont="1" applyBorder="1">
      <alignment vertical="center"/>
    </xf>
    <xf numFmtId="38" fontId="0" fillId="5" borderId="1" xfId="1" applyFont="1" applyFill="1" applyBorder="1">
      <alignment vertical="center"/>
    </xf>
    <xf numFmtId="0" fontId="0" fillId="0" borderId="18" xfId="0" applyBorder="1" applyAlignment="1">
      <alignment horizontal="center" vertical="center"/>
    </xf>
    <xf numFmtId="0" fontId="4" fillId="0" borderId="1" xfId="0" applyFont="1" applyBorder="1">
      <alignment vertical="center"/>
    </xf>
    <xf numFmtId="176" fontId="0" fillId="6" borderId="4" xfId="0" applyNumberFormat="1" applyFill="1" applyBorder="1">
      <alignment vertical="center"/>
    </xf>
    <xf numFmtId="0" fontId="0" fillId="6" borderId="2" xfId="0" applyFill="1" applyBorder="1">
      <alignment vertical="center"/>
    </xf>
    <xf numFmtId="0" fontId="0" fillId="6" borderId="1" xfId="0" applyFill="1" applyBorder="1">
      <alignment vertical="center"/>
    </xf>
    <xf numFmtId="38" fontId="0" fillId="6" borderId="1" xfId="1" applyFont="1" applyFill="1" applyBorder="1">
      <alignment vertical="center"/>
    </xf>
    <xf numFmtId="38" fontId="0" fillId="6" borderId="2" xfId="1" applyFont="1" applyFill="1" applyBorder="1">
      <alignment vertical="center"/>
    </xf>
    <xf numFmtId="38" fontId="0" fillId="6" borderId="5" xfId="1" applyFont="1" applyFill="1" applyBorder="1">
      <alignment vertical="center"/>
    </xf>
    <xf numFmtId="0" fontId="5" fillId="6" borderId="1" xfId="0" applyFont="1" applyFill="1" applyBorder="1">
      <alignment vertical="center"/>
    </xf>
    <xf numFmtId="0" fontId="3" fillId="6" borderId="1" xfId="0" applyFont="1" applyFill="1" applyBorder="1">
      <alignment vertical="center"/>
    </xf>
    <xf numFmtId="0" fontId="0" fillId="6" borderId="5" xfId="0" applyFill="1" applyBorder="1">
      <alignment vertical="center"/>
    </xf>
    <xf numFmtId="0" fontId="8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1" applyNumberFormat="1" applyFont="1">
      <alignment vertical="center"/>
    </xf>
    <xf numFmtId="0" fontId="10" fillId="0" borderId="1" xfId="0" applyFont="1" applyBorder="1">
      <alignment vertical="center"/>
    </xf>
    <xf numFmtId="0" fontId="9" fillId="0" borderId="1" xfId="0" applyFont="1" applyBorder="1">
      <alignment vertical="center"/>
    </xf>
    <xf numFmtId="38" fontId="11" fillId="0" borderId="0" xfId="1" applyFont="1">
      <alignment vertical="center"/>
    </xf>
    <xf numFmtId="0" fontId="0" fillId="0" borderId="19" xfId="0" applyBorder="1">
      <alignment vertical="center"/>
    </xf>
    <xf numFmtId="0" fontId="4" fillId="8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0" fillId="0" borderId="2" xfId="0" applyFont="1" applyBorder="1">
      <alignment vertical="center"/>
    </xf>
    <xf numFmtId="0" fontId="0" fillId="0" borderId="20" xfId="0" applyBorder="1">
      <alignment vertical="center"/>
    </xf>
    <xf numFmtId="0" fontId="2" fillId="0" borderId="20" xfId="0" applyFont="1" applyBorder="1">
      <alignment vertical="center"/>
    </xf>
    <xf numFmtId="0" fontId="0" fillId="0" borderId="22" xfId="0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8" fontId="0" fillId="0" borderId="24" xfId="1" applyFont="1" applyBorder="1">
      <alignment vertical="center"/>
    </xf>
    <xf numFmtId="0" fontId="0" fillId="0" borderId="25" xfId="0" applyBorder="1" applyAlignment="1">
      <alignment horizontal="center" vertical="center"/>
    </xf>
    <xf numFmtId="38" fontId="0" fillId="0" borderId="27" xfId="0" applyNumberFormat="1" applyBorder="1">
      <alignment vertical="center"/>
    </xf>
    <xf numFmtId="0" fontId="0" fillId="0" borderId="26" xfId="0" applyBorder="1" applyAlignment="1">
      <alignment horizontal="center" vertical="center"/>
    </xf>
    <xf numFmtId="38" fontId="0" fillId="0" borderId="23" xfId="1" applyFont="1" applyBorder="1">
      <alignment vertical="center"/>
    </xf>
    <xf numFmtId="38" fontId="0" fillId="0" borderId="27" xfId="1" applyFont="1" applyBorder="1">
      <alignment vertical="center"/>
    </xf>
    <xf numFmtId="0" fontId="0" fillId="0" borderId="28" xfId="0" applyBorder="1" applyAlignment="1">
      <alignment horizontal="center" vertical="center"/>
    </xf>
    <xf numFmtId="38" fontId="0" fillId="0" borderId="22" xfId="1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38" fontId="3" fillId="0" borderId="12" xfId="1" applyFont="1" applyBorder="1">
      <alignment vertical="center"/>
    </xf>
    <xf numFmtId="38" fontId="2" fillId="0" borderId="12" xfId="1" applyFont="1" applyBorder="1">
      <alignment vertical="center"/>
    </xf>
    <xf numFmtId="0" fontId="0" fillId="0" borderId="30" xfId="0" applyBorder="1" applyAlignment="1">
      <alignment horizontal="center" vertical="center"/>
    </xf>
    <xf numFmtId="38" fontId="4" fillId="0" borderId="5" xfId="1" applyFont="1" applyBorder="1" applyAlignment="1">
      <alignment horizontal="center" vertical="center"/>
    </xf>
    <xf numFmtId="38" fontId="0" fillId="0" borderId="5" xfId="1" applyFont="1" applyBorder="1" applyAlignment="1">
      <alignment horizontal="center" vertical="center"/>
    </xf>
    <xf numFmtId="0" fontId="0" fillId="0" borderId="22" xfId="1" applyNumberFormat="1" applyFont="1" applyBorder="1" applyAlignment="1">
      <alignment horizontal="center" vertical="center"/>
    </xf>
    <xf numFmtId="0" fontId="0" fillId="0" borderId="27" xfId="1" applyNumberFormat="1" applyFont="1" applyBorder="1">
      <alignment vertical="center"/>
    </xf>
    <xf numFmtId="0" fontId="0" fillId="0" borderId="5" xfId="1" applyNumberFormat="1" applyFont="1" applyBorder="1">
      <alignment vertical="center"/>
    </xf>
    <xf numFmtId="0" fontId="0" fillId="0" borderId="21" xfId="1" applyNumberFormat="1" applyFont="1" applyBorder="1" applyAlignment="1">
      <alignment horizontal="center" vertical="center"/>
    </xf>
    <xf numFmtId="0" fontId="0" fillId="0" borderId="29" xfId="1" applyNumberFormat="1" applyFont="1" applyBorder="1">
      <alignment vertical="center"/>
    </xf>
    <xf numFmtId="0" fontId="0" fillId="0" borderId="23" xfId="1" applyNumberFormat="1" applyFont="1" applyBorder="1">
      <alignment vertical="center"/>
    </xf>
    <xf numFmtId="38" fontId="0" fillId="0" borderId="25" xfId="1" applyFont="1" applyBorder="1">
      <alignment vertical="center"/>
    </xf>
    <xf numFmtId="38" fontId="0" fillId="0" borderId="29" xfId="1" applyFont="1" applyBorder="1">
      <alignment vertical="center"/>
    </xf>
    <xf numFmtId="38" fontId="0" fillId="0" borderId="31" xfId="1" applyFont="1" applyBorder="1">
      <alignment vertical="center"/>
    </xf>
    <xf numFmtId="0" fontId="0" fillId="7" borderId="1" xfId="0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 textRotation="255"/>
    </xf>
  </cellXfs>
  <cellStyles count="2">
    <cellStyle name="桁区切り" xfId="1" builtinId="6"/>
    <cellStyle name="標準" xfId="0" builtinId="0"/>
  </cellStyles>
  <dxfs count="130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6" formatCode="#,##0;[Red]\-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6" formatCode="#,##0;[Red]\-#,##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/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6" formatCode="m/d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/>
        <bottom/>
      </border>
    </dxf>
    <dxf>
      <border outline="0">
        <bottom style="medium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476250</xdr:colOff>
          <xdr:row>4</xdr:row>
          <xdr:rowOff>142875</xdr:rowOff>
        </xdr:from>
        <xdr:to>
          <xdr:col>33</xdr:col>
          <xdr:colOff>457200</xdr:colOff>
          <xdr:row>10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mac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ro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561F9F6-E1DB-4E1E-9CEB-737F79A8106F}" name="テーブル1611" displayName="テーブル1611" ref="A1:K50" totalsRowCount="1" headerRowDxfId="1299" headerRowBorderDxfId="1297" tableBorderDxfId="1298">
  <autoFilter ref="A1:K49" xr:uid="{84424A3F-6FAF-439F-9300-F3D82AE30E20}"/>
  <tableColumns count="11">
    <tableColumn id="1" xr3:uid="{91F2A5CB-7EB0-4A12-991C-062C62D7C7E6}" name="日付" totalsRowLabel="集計" dataDxfId="1295" totalsRowDxfId="1296"/>
    <tableColumn id="2" xr3:uid="{CD0071F4-A0AF-419B-84BC-7574FBA2D165}" name="現場名" totalsRowLabel="合計" dataDxfId="1293" totalsRowDxfId="1294"/>
    <tableColumn id="3" xr3:uid="{8CD3873A-BD1D-4659-AEEB-DAFF26D2A2D3}" name="品名" dataDxfId="1291" totalsRowDxfId="1292"/>
    <tableColumn id="4" xr3:uid="{00379080-D52D-4F00-AF18-36F76DDCE0BF}" name="数量" dataDxfId="1289" totalsRowDxfId="1290"/>
    <tableColumn id="5" xr3:uid="{13E0F4FE-6F43-4315-B2A2-6C8E2EBE5B1C}" name="単価" dataDxfId="1287" totalsRowDxfId="1288"/>
    <tableColumn id="6" xr3:uid="{3612998B-E163-483B-8120-4E94E550CD2B}" name="仕入金額" totalsRowFunction="sum" dataDxfId="1285" totalsRowDxfId="1286">
      <calculatedColumnFormula>D2*E2</calculatedColumnFormula>
    </tableColumn>
    <tableColumn id="7" xr3:uid="{396B914B-B12C-433D-A5E7-4C25139F3B9D}" name="支払方法" dataDxfId="1283" totalsRowDxfId="1284"/>
    <tableColumn id="8" xr3:uid="{7F2381F8-670F-4D5D-951E-D01382030D00}" name="支払金額" totalsRowFunction="sum" dataDxfId="1281" totalsRowDxfId="1282"/>
    <tableColumn id="9" xr3:uid="{DC99597A-289B-4C81-BE3D-02CE376460CD}" name="差引残高" totalsRowFunction="custom" dataDxfId="1279" totalsRowDxfId="1280">
      <calculatedColumnFormula>I1+F2-H2</calculatedColumnFormula>
      <totalsRowFormula>テーブル1611[[#Totals],[仕入金額]]-テーブル1611[[#Totals],[支払金額]]</totalsRowFormula>
    </tableColumn>
    <tableColumn id="10" xr3:uid="{6052F4DA-F599-4DF2-906E-82E52EFBE84F}" name="ソフト入力" dataDxfId="1277" totalsRowDxfId="1278"/>
    <tableColumn id="11" xr3:uid="{B1569DE1-9B89-44A3-B42D-ECF5C1635C27}" name="裕子" dataDxfId="1275" totalsRowDxfId="1276"/>
  </tableColumns>
  <tableStyleInfo name="TableStyleLight18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7C54EA0-9DDC-4B33-9FEC-F219923918C0}" name="テーブル138" displayName="テーブル138" ref="A1:K48" totalsRowCount="1" headerRowDxfId="1274" headerRowBorderDxfId="1272" tableBorderDxfId="1273">
  <autoFilter ref="A1:K47" xr:uid="{84424A3F-6FAF-439F-9300-F3D82AE30E20}"/>
  <tableColumns count="11">
    <tableColumn id="1" xr3:uid="{C17590EC-F5D0-4618-9295-16EDCAC77A0A}" name="日付" totalsRowLabel="集計" dataDxfId="1270" totalsRowDxfId="1271"/>
    <tableColumn id="2" xr3:uid="{BA94B66B-5CE4-4BA2-9CA8-5155466D430F}" name="現場名" dataDxfId="1268" totalsRowDxfId="1269"/>
    <tableColumn id="3" xr3:uid="{607659F1-ED1F-4B13-A5FA-9EDE65467D5C}" name="品名" dataDxfId="1266" totalsRowDxfId="1267"/>
    <tableColumn id="4" xr3:uid="{FB26B59F-6E69-45DB-8918-70BA608FE44C}" name="数量" dataDxfId="1264" totalsRowDxfId="1265"/>
    <tableColumn id="5" xr3:uid="{9C52CF79-4ACF-4865-9CD0-E3C06C617BEC}" name="単価" dataDxfId="1262" totalsRowDxfId="1263"/>
    <tableColumn id="6" xr3:uid="{97D20EEC-5B85-4B8F-845D-BF73A32CA0A8}" name="仕入金額" totalsRowFunction="sum" dataDxfId="1260" totalsRowDxfId="1261">
      <calculatedColumnFormula>D2*E2</calculatedColumnFormula>
    </tableColumn>
    <tableColumn id="7" xr3:uid="{8635FF72-97E3-4FE9-A597-8044FDC0F664}" name="支払方法" dataDxfId="1258" totalsRowDxfId="1259"/>
    <tableColumn id="8" xr3:uid="{40AF8B2F-49FF-403D-8AD1-E4A3AEFEE278}" name="支払金額" totalsRowFunction="sum" dataDxfId="1256" totalsRowDxfId="1257"/>
    <tableColumn id="9" xr3:uid="{14765FF4-3D77-4C81-BE45-B8FAB31FD603}" name="差引残高" totalsRowFunction="custom" dataDxfId="1254" totalsRowDxfId="1255">
      <calculatedColumnFormula>I1+F2-H2</calculatedColumnFormula>
      <totalsRowFormula>テーブル138[[#Totals],[仕入金額]]-テーブル138[[#Totals],[支払金額]]</totalsRowFormula>
    </tableColumn>
    <tableColumn id="10" xr3:uid="{CD89ABFB-4767-46E8-8B91-4CF5AA541E37}" name="ソフト入力" dataDxfId="1252" totalsRowDxfId="1253"/>
    <tableColumn id="11" xr3:uid="{7F8A2A91-4E79-4782-A4CA-E835F6DEA678}" name="裕子" totalsRowFunction="count" dataDxfId="1250" totalsRowDxfId="1251"/>
  </tableColumns>
  <tableStyleInfo name="TableStyleLight18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BB957B0-78DB-4D3B-A8AD-5E762A90A43E}" name="テーブル1610" displayName="テーブル1610" ref="A1:K50" totalsRowCount="1" headerRowDxfId="1249" headerRowBorderDxfId="1247" tableBorderDxfId="1248">
  <autoFilter ref="A1:K49" xr:uid="{84424A3F-6FAF-439F-9300-F3D82AE30E20}"/>
  <tableColumns count="11">
    <tableColumn id="1" xr3:uid="{35E68364-9ED6-4490-B7F7-3A0E5FA72DDF}" name="日付" totalsRowLabel="集計" dataDxfId="1245" totalsRowDxfId="1246"/>
    <tableColumn id="2" xr3:uid="{09D1930B-FFDC-49B2-A38B-FA9D38FBCD06}" name="現場名" dataDxfId="1243" totalsRowDxfId="1244"/>
    <tableColumn id="3" xr3:uid="{E1676149-D84B-445F-8BDF-19C39F87C22E}" name="品名" dataDxfId="1241" totalsRowDxfId="1242"/>
    <tableColumn id="4" xr3:uid="{F3F71593-D6B8-49EA-9457-339027F178DA}" name="数量" dataDxfId="1239" totalsRowDxfId="1240"/>
    <tableColumn id="5" xr3:uid="{3262B695-89FB-49CD-9EB0-F95D2509AFB5}" name="単価" dataDxfId="1237" totalsRowDxfId="1238" totalsRowCellStyle="桁区切り"/>
    <tableColumn id="6" xr3:uid="{08F39871-58CB-46FB-AE41-E7E5D35A8757}" name="仕入金額" totalsRowFunction="sum" dataDxfId="1235" totalsRowDxfId="1236" totalsRowCellStyle="桁区切り">
      <calculatedColumnFormula>D2*E2</calculatedColumnFormula>
    </tableColumn>
    <tableColumn id="7" xr3:uid="{923C50C6-0733-44D7-9CB1-8ADE3F9741E7}" name="支払方法" dataDxfId="1233" totalsRowDxfId="1234" totalsRowCellStyle="桁区切り"/>
    <tableColumn id="8" xr3:uid="{037F115D-F265-4BD6-9759-BF3E92034671}" name="支払金額" totalsRowFunction="sum" dataDxfId="1231" totalsRowDxfId="1232" totalsRowCellStyle="桁区切り"/>
    <tableColumn id="9" xr3:uid="{90400A6E-3D2D-4130-B160-A57CE77D0211}" name="差引残高" totalsRowFunction="custom" dataDxfId="1229" totalsRowDxfId="1230" totalsRowCellStyle="桁区切り">
      <calculatedColumnFormula>I1+F2-H2</calculatedColumnFormula>
      <totalsRowFormula>テーブル1610[[#Totals],[仕入金額]]-テーブル1610[[#Totals],[支払金額]]</totalsRowFormula>
    </tableColumn>
    <tableColumn id="10" xr3:uid="{B82A79AB-36F6-4A7D-B603-29E0B3673A80}" name="ソフト入力" dataDxfId="1227" totalsRowDxfId="1228" totalsRowCellStyle="桁区切り"/>
    <tableColumn id="11" xr3:uid="{407F62B6-5251-4E37-B1CB-D622231E4FBD}" name="裕子" totalsRowFunction="count" dataDxfId="1225" totalsRowDxfId="1226" totalsRowCellStyle="桁区切り"/>
  </tableColumns>
  <tableStyleInfo name="TableStyleLight18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ACDBB9-8D43-419E-8708-72A44966D636}" name="テーブル1389" displayName="テーブル1389" ref="A1:K48" totalsRowCount="1" headerRowDxfId="1224" headerRowBorderDxfId="1222" tableBorderDxfId="1223">
  <autoFilter ref="A1:K47" xr:uid="{84424A3F-6FAF-439F-9300-F3D82AE30E20}"/>
  <tableColumns count="11">
    <tableColumn id="1" xr3:uid="{88E6B3D9-49E5-425B-8CC4-73724F1C8540}" name="日付" totalsRowLabel="集計" dataDxfId="1220" totalsRowDxfId="1221"/>
    <tableColumn id="2" xr3:uid="{F2EB933C-E8FA-4ABB-82C6-CD296D74591A}" name="現場名" dataDxfId="1218" totalsRowDxfId="1219"/>
    <tableColumn id="3" xr3:uid="{94ED5563-2159-48CA-AD93-D7514E4F6788}" name="品名" dataDxfId="1216" totalsRowDxfId="1217"/>
    <tableColumn id="4" xr3:uid="{8965A12E-B109-4AA8-B321-BF60D1932FE5}" name="数量" dataDxfId="1214" totalsRowDxfId="1215"/>
    <tableColumn id="5" xr3:uid="{F80FED95-0092-40C9-888A-37FAFF51FB47}" name="単価" dataDxfId="1212" totalsRowDxfId="1213"/>
    <tableColumn id="6" xr3:uid="{67C8006E-BBB4-4777-BECF-3C93AC3C8A8D}" name="仕入金額" totalsRowFunction="sum" dataDxfId="1210" totalsRowDxfId="1211">
      <calculatedColumnFormula>D2*E2</calculatedColumnFormula>
    </tableColumn>
    <tableColumn id="7" xr3:uid="{9DAD9B20-7671-4CD5-B8B9-5A2EC8759BDC}" name="支払方法" dataDxfId="1208" totalsRowDxfId="1209"/>
    <tableColumn id="8" xr3:uid="{473633F3-2465-4631-A6B4-C30C0B510C92}" name="支払金額" totalsRowFunction="sum" dataDxfId="1206" totalsRowDxfId="1207"/>
    <tableColumn id="9" xr3:uid="{B07F8E5C-9CFB-4183-AE48-B74EC280381C}" name="差引残高" totalsRowFunction="custom" dataDxfId="1204" totalsRowDxfId="1205">
      <calculatedColumnFormula>I1+F2-H2</calculatedColumnFormula>
      <totalsRowFormula>テーブル1389[[#Totals],[仕入金額]]-テーブル1389[[#Totals],[支払金額]]</totalsRowFormula>
    </tableColumn>
    <tableColumn id="10" xr3:uid="{6A8D27EB-1B32-4726-8424-35AF6BA523C0}" name="ソフト入力" dataDxfId="1202" totalsRowDxfId="1203"/>
    <tableColumn id="11" xr3:uid="{205E11C8-22E1-4F71-B565-17F93C1601D4}" name="裕子" totalsRowFunction="count" dataDxfId="1200" totalsRowDxfId="1201"/>
  </tableColumns>
  <tableStyleInfo name="TableStyleLight18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445CE0-EB8F-4C19-9B80-50C25F1254BF}" name="テーブル16" displayName="テーブル16" ref="A1:K50" totalsRowCount="1" headerRowDxfId="1199" headerRowBorderDxfId="1197" tableBorderDxfId="1198">
  <autoFilter ref="A1:K49" xr:uid="{84424A3F-6FAF-439F-9300-F3D82AE30E20}"/>
  <tableColumns count="11">
    <tableColumn id="1" xr3:uid="{70186B1F-EF82-417B-8B14-768A4A7B36CA}" name="日付" totalsRowLabel="集計" dataDxfId="1195" totalsRowDxfId="1196"/>
    <tableColumn id="2" xr3:uid="{24FC1261-9632-4ADF-B58F-05212FF1EDEE}" name="現場名" dataDxfId="1193" totalsRowDxfId="1194"/>
    <tableColumn id="3" xr3:uid="{4C5DE1D3-BB05-4C60-96AF-C31F7A5FE791}" name="品名" dataDxfId="1191" totalsRowDxfId="1192"/>
    <tableColumn id="4" xr3:uid="{31779C5B-C414-409F-965D-058F445AD917}" name="数量" dataDxfId="1189" totalsRowDxfId="1190"/>
    <tableColumn id="5" xr3:uid="{C61DEC0D-A32E-47AF-A7F7-7D788274F5DD}" name="単価" dataDxfId="1187" totalsRowDxfId="1188" totalsRowCellStyle="桁区切り"/>
    <tableColumn id="6" xr3:uid="{48D6A8D0-D7F7-4ECF-BC2C-01C2C00098D7}" name="仕入金額" totalsRowFunction="sum" dataDxfId="1185" totalsRowDxfId="1186" totalsRowCellStyle="桁区切り">
      <calculatedColumnFormula>D2*E2</calculatedColumnFormula>
    </tableColumn>
    <tableColumn id="7" xr3:uid="{512D616E-485C-43AE-8C48-E21728B92B9C}" name="支払方法" dataDxfId="1183" totalsRowDxfId="1184" totalsRowCellStyle="桁区切り"/>
    <tableColumn id="8" xr3:uid="{524BCCC1-25F5-4F08-9513-11D451C76F33}" name="支払金額" totalsRowFunction="sum" dataDxfId="1181" totalsRowDxfId="1182" totalsRowCellStyle="桁区切り"/>
    <tableColumn id="9" xr3:uid="{2465912C-C337-43E6-9F03-A15C251881C6}" name="差引残高" totalsRowFunction="custom" dataDxfId="1179" totalsRowDxfId="1180" totalsRowCellStyle="桁区切り">
      <calculatedColumnFormula>I1+F2-H2</calculatedColumnFormula>
      <totalsRowFormula>テーブル16[[#Totals],[仕入金額]]-テーブル16[[#Totals],[支払金額]]</totalsRowFormula>
    </tableColumn>
    <tableColumn id="10" xr3:uid="{569F1E2E-8711-4D0E-AC1D-7B3B0943BBF8}" name="ソフト入力" dataDxfId="1177" totalsRowDxfId="1178" totalsRowCellStyle="桁区切り"/>
    <tableColumn id="11" xr3:uid="{E60E93E9-F372-4B2E-9FA1-D91E9840731F}" name="裕子" totalsRowFunction="count" dataDxfId="1175" totalsRowDxfId="1176" totalsRowCellStyle="桁区切り"/>
  </tableColumns>
  <tableStyleInfo name="TableStyleLight18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6F58EE-20AF-4617-BEB3-4E9513B57EA0}" name="テーブル1345" displayName="テーブル1345" ref="A1:K48" totalsRowCount="1" headerRowDxfId="1174" headerRowBorderDxfId="1172" tableBorderDxfId="1173">
  <autoFilter ref="A1:K47" xr:uid="{84424A3F-6FAF-439F-9300-F3D82AE30E20}"/>
  <tableColumns count="11">
    <tableColumn id="1" xr3:uid="{37A97F2A-1FB6-458C-9F48-11BC30B8A244}" name="日付" totalsRowLabel="集計" dataDxfId="1170" totalsRowDxfId="1171"/>
    <tableColumn id="2" xr3:uid="{1C0DF2C9-52D5-485A-AF4F-EAD4C8E61E0C}" name="現場名" dataDxfId="1168" totalsRowDxfId="1169"/>
    <tableColumn id="3" xr3:uid="{7997BA37-BDFF-4022-9EB1-D4B347DEA9ED}" name="品名" dataDxfId="1166" totalsRowDxfId="1167"/>
    <tableColumn id="4" xr3:uid="{FE94EAA2-813D-47B5-8C6B-A44554E99D74}" name="数量" dataDxfId="1164" totalsRowDxfId="1165"/>
    <tableColumn id="5" xr3:uid="{0EE76940-546B-47DE-ADDB-9E0F65C64C3D}" name="単価" dataDxfId="1162" totalsRowDxfId="1163"/>
    <tableColumn id="6" xr3:uid="{CFB7D9B2-79A5-4E86-B242-CD9EA7F90D71}" name="仕入金額" totalsRowFunction="sum" dataDxfId="1160" totalsRowDxfId="1161">
      <calculatedColumnFormula>D2*E2</calculatedColumnFormula>
    </tableColumn>
    <tableColumn id="7" xr3:uid="{2F3751DE-C4D4-4A72-B79E-83632006DFE7}" name="支払方法" dataDxfId="1158" totalsRowDxfId="1159"/>
    <tableColumn id="8" xr3:uid="{BFFDBC15-CF5A-4237-BBFB-C0E5550152F5}" name="支払金額" totalsRowFunction="sum" dataDxfId="1156" totalsRowDxfId="1157"/>
    <tableColumn id="9" xr3:uid="{E0131875-8326-47C8-8F87-95629647DA8A}" name="差引残高" totalsRowFunction="custom" dataDxfId="1154" totalsRowDxfId="1155">
      <calculatedColumnFormula>I1+F2-H2</calculatedColumnFormula>
      <totalsRowFormula>テーブル1345[[#Totals],[仕入金額]]-テーブル1345[[#Totals],[支払金額]]</totalsRowFormula>
    </tableColumn>
    <tableColumn id="10" xr3:uid="{13C7D075-C144-4432-9B89-D63E7FB0E526}" name="ソフト入力" dataDxfId="1152" totalsRowDxfId="1153"/>
    <tableColumn id="11" xr3:uid="{C3AAF220-A1AE-46BB-88CD-0A7F7E4DA769}" name="裕子" totalsRowFunction="count" dataDxfId="1150" totalsRowDxfId="1151"/>
  </tableColumns>
  <tableStyleInfo name="TableStyleLight18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1BD2D96-C52D-4080-915E-C6AF5470B872}" name="テーブル134" displayName="テーブル134" ref="A1:K48" totalsRowCount="1" headerRowDxfId="1149" headerRowBorderDxfId="1147" tableBorderDxfId="1148">
  <autoFilter ref="A1:K47" xr:uid="{84424A3F-6FAF-439F-9300-F3D82AE30E20}"/>
  <tableColumns count="11">
    <tableColumn id="1" xr3:uid="{59CD8DE7-268A-436D-933D-125FAAEEB73B}" name="日付" totalsRowLabel="集計" dataDxfId="1145" totalsRowDxfId="1146"/>
    <tableColumn id="2" xr3:uid="{918080B1-2C10-47E5-890A-46E9983DBFFB}" name="現場名" dataDxfId="1143" totalsRowDxfId="1144"/>
    <tableColumn id="3" xr3:uid="{F6425289-AD95-4849-82CE-692CB30B8B0F}" name="品名" dataDxfId="1141" totalsRowDxfId="1142"/>
    <tableColumn id="4" xr3:uid="{802EBDDC-32AF-466F-B067-79E524FF34BA}" name="数量" dataDxfId="1139" totalsRowDxfId="1140"/>
    <tableColumn id="5" xr3:uid="{075E4C89-EA52-4E95-8C1C-37C91794F9DA}" name="単価" dataDxfId="1137" totalsRowDxfId="1138"/>
    <tableColumn id="6" xr3:uid="{50B9C227-F3E6-4EFB-BDEC-88904E659E6F}" name="仕入金額" totalsRowFunction="sum" dataDxfId="1135" totalsRowDxfId="1136">
      <calculatedColumnFormula>D2*E2</calculatedColumnFormula>
    </tableColumn>
    <tableColumn id="7" xr3:uid="{65668B21-C28C-4FF7-B804-60EAEFEB11F1}" name="支払方法" dataDxfId="1133" totalsRowDxfId="1134"/>
    <tableColumn id="8" xr3:uid="{337E9B11-7A95-47E6-8678-F276092D83CD}" name="支払金額" totalsRowFunction="sum" dataDxfId="1131" totalsRowDxfId="1132"/>
    <tableColumn id="9" xr3:uid="{81447682-378A-49B6-8DF9-9B0493CEFBCD}" name="差引残高" totalsRowFunction="custom" dataDxfId="1129" totalsRowDxfId="1130">
      <calculatedColumnFormula>I1+F2-H2</calculatedColumnFormula>
      <totalsRowFormula>F48-H48</totalsRowFormula>
    </tableColumn>
    <tableColumn id="10" xr3:uid="{73DDC9D3-CF51-4A23-B817-763328BE9EAC}" name="ソフト入力" dataDxfId="1127" totalsRowDxfId="1128"/>
    <tableColumn id="11" xr3:uid="{A77AAD63-E010-4CA5-AFDA-8233BA079241}" name="裕子" totalsRowFunction="count" dataDxfId="1125" totalsRowDxfId="1126"/>
  </tableColumns>
  <tableStyleInfo name="TableStyleLight18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BDA79C-FFDB-4AFD-BE22-64BF73D77625}" name="テーブル13" displayName="テーブル13" ref="A1:K48" totalsRowCount="1" headerRowDxfId="1124" headerRowBorderDxfId="1122" tableBorderDxfId="1123">
  <autoFilter ref="A1:K47" xr:uid="{84424A3F-6FAF-439F-9300-F3D82AE30E20}"/>
  <tableColumns count="11">
    <tableColumn id="1" xr3:uid="{CFFDA5DB-4011-4404-988E-77D7B7274DD2}" name="日付" totalsRowLabel="集計" dataDxfId="1120" totalsRowDxfId="1121"/>
    <tableColumn id="2" xr3:uid="{0068E7CF-271E-4FB8-B12D-B25DE8B6BDAF}" name="現場名" dataDxfId="1118" totalsRowDxfId="1119"/>
    <tableColumn id="3" xr3:uid="{9530C273-973B-46EC-BECD-4E0A6BED1414}" name="品名" dataDxfId="1116" totalsRowDxfId="1117"/>
    <tableColumn id="4" xr3:uid="{08FABBD1-19A4-4F04-BD8F-EE85B1761F57}" name="数量" dataDxfId="1114" totalsRowDxfId="1115"/>
    <tableColumn id="5" xr3:uid="{C5044E1A-4FA2-45D0-BCB7-384555F07A60}" name="単価" dataDxfId="1112" totalsRowDxfId="1113" totalsRowCellStyle="桁区切り"/>
    <tableColumn id="6" xr3:uid="{88267F66-F2D9-413E-A054-1077A4ADA2CC}" name="仕入金額" totalsRowFunction="sum" dataDxfId="1110" totalsRowDxfId="1111" totalsRowCellStyle="桁区切り">
      <calculatedColumnFormula>D2*E2</calculatedColumnFormula>
    </tableColumn>
    <tableColumn id="7" xr3:uid="{AEA73D43-8985-4490-A2B3-6A297B5C4593}" name="支払方法" dataDxfId="1108" totalsRowDxfId="1109" totalsRowCellStyle="桁区切り"/>
    <tableColumn id="8" xr3:uid="{5AF3ACB6-7F88-4544-B940-65D9970066E0}" name="支払金額" totalsRowFunction="sum" dataDxfId="1106" totalsRowDxfId="1107" totalsRowCellStyle="桁区切り"/>
    <tableColumn id="9" xr3:uid="{8C06B8A6-39DF-4676-BE5C-A3C796E77E6E}" name="差引残高" totalsRowFunction="custom" dataDxfId="1104" totalsRowDxfId="1105" totalsRowCellStyle="桁区切り">
      <calculatedColumnFormula>I1+F2-H2</calculatedColumnFormula>
      <totalsRowFormula>テーブル13[[#Totals],[仕入金額]]-テーブル13[[#Totals],[支払金額]]</totalsRowFormula>
    </tableColumn>
    <tableColumn id="10" xr3:uid="{87618133-545F-475B-8238-5A3C6D4307BD}" name="ソフト入力" dataDxfId="1102" totalsRowDxfId="1103" totalsRowCellStyle="桁区切り"/>
    <tableColumn id="11" xr3:uid="{85631B48-DF1A-488B-8BC0-F8A14ED5DAD7}" name="裕子" totalsRowFunction="count" dataDxfId="1100" totalsRowDxfId="1101" totalsRowCellStyle="桁区切り"/>
  </tableColumns>
  <tableStyleInfo name="TableStyleLight18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ABD9AA3-4FB1-4EFC-A685-3B29BA919831}" name="テーブル1312" displayName="テーブル1312" ref="A1:K48" totalsRowCount="1" headerRowDxfId="1099" headerRowBorderDxfId="1097" tableBorderDxfId="1098">
  <autoFilter ref="A1:K47" xr:uid="{84424A3F-6FAF-439F-9300-F3D82AE30E20}"/>
  <tableColumns count="11">
    <tableColumn id="1" xr3:uid="{946B4D0E-904E-4F89-8BD0-DA303640D5D0}" name="日付" totalsRowLabel="集計" dataDxfId="1095" totalsRowDxfId="1096"/>
    <tableColumn id="2" xr3:uid="{FCDE1CD9-BC4B-4546-974A-108507B5E893}" name="現場名" dataDxfId="1093" totalsRowDxfId="1094"/>
    <tableColumn id="3" xr3:uid="{4008AA54-5266-4A0E-BB12-422E92994476}" name="品名" dataDxfId="1091" totalsRowDxfId="1092"/>
    <tableColumn id="4" xr3:uid="{2E119191-7B5C-4362-A31A-7C861E06A12F}" name="数量" dataDxfId="1089" totalsRowDxfId="1090"/>
    <tableColumn id="5" xr3:uid="{C5FE5C17-C479-4517-A8CA-24F5F9F531F4}" name="単価" dataDxfId="1087" totalsRowDxfId="1088" totalsRowCellStyle="桁区切り"/>
    <tableColumn id="6" xr3:uid="{EDCD6884-A414-469A-9BD3-CE46304DEB13}" name="仕入金額" totalsRowFunction="sum" dataDxfId="1085" totalsRowDxfId="1086" totalsRowCellStyle="桁区切り">
      <calculatedColumnFormula>D2*E2</calculatedColumnFormula>
    </tableColumn>
    <tableColumn id="7" xr3:uid="{FB29A04B-DF56-4453-82C4-4E7A85CA4A8F}" name="支払方法" dataDxfId="1083" totalsRowDxfId="1084" totalsRowCellStyle="桁区切り"/>
    <tableColumn id="8" xr3:uid="{D7058A71-C660-4FA7-82CA-BD86D8F86214}" name="支払金額" totalsRowFunction="sum" dataDxfId="1081" totalsRowDxfId="1082" totalsRowCellStyle="桁区切り"/>
    <tableColumn id="9" xr3:uid="{F2179CE5-4EC5-4307-B240-7E0402E07539}" name="差引残高" totalsRowFunction="custom" dataDxfId="1079" totalsRowDxfId="1080" totalsRowCellStyle="桁区切り">
      <calculatedColumnFormula>I1+F2-H2</calculatedColumnFormula>
      <totalsRowFormula>テーブル1312[[#Totals],[仕入金額]]-テーブル1312[[#Totals],[支払金額]]</totalsRowFormula>
    </tableColumn>
    <tableColumn id="10" xr3:uid="{088469A8-730D-4F45-ABD5-AAE41501882C}" name="ソフト入力" dataDxfId="1077" totalsRowDxfId="1078" totalsRowCellStyle="桁区切り"/>
    <tableColumn id="11" xr3:uid="{ED1354CA-9571-46C8-B7A3-D00C95F6394F}" name="裕子" totalsRowFunction="count" dataDxfId="1075" totalsRowDxfId="1076" totalsRowCellStyle="桁区切り"/>
  </tableColumns>
  <tableStyleInfo name="TableStyleLight18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8F2A2F4-DE6E-4AD5-837D-3AA943496EAB}" name="テーブル131213" displayName="テーブル131213" ref="A1:K48" totalsRowCount="1" headerRowDxfId="1074" headerRowBorderDxfId="1072" tableBorderDxfId="1073">
  <autoFilter ref="A1:K47" xr:uid="{84424A3F-6FAF-439F-9300-F3D82AE30E20}"/>
  <tableColumns count="11">
    <tableColumn id="1" xr3:uid="{2FF38E42-1362-40F7-9BE5-DDAC48272582}" name="日付" totalsRowLabel="集計" dataDxfId="1070" totalsRowDxfId="1071"/>
    <tableColumn id="2" xr3:uid="{F78B3778-E2A0-4988-9716-C39623FA655E}" name="現場名" dataDxfId="1068" totalsRowDxfId="1069"/>
    <tableColumn id="3" xr3:uid="{82959348-4AED-43FA-9A5E-F8C2423CDFAC}" name="品名" dataDxfId="1066" totalsRowDxfId="1067"/>
    <tableColumn id="4" xr3:uid="{18B6D381-8D41-4BBF-A553-68FC2D58BF28}" name="数量" dataDxfId="1064" totalsRowDxfId="1065"/>
    <tableColumn id="5" xr3:uid="{DE9DDA54-A9EB-4146-836B-F982BCF8BF09}" name="単価" dataDxfId="1062" totalsRowDxfId="1063"/>
    <tableColumn id="6" xr3:uid="{1F8278E2-CF34-407B-B6CE-B24BCC6A2EEB}" name="仕入金額" totalsRowFunction="sum" dataDxfId="1060" totalsRowDxfId="1061">
      <calculatedColumnFormula>D2*E2</calculatedColumnFormula>
    </tableColumn>
    <tableColumn id="7" xr3:uid="{2C4CAD18-4998-48CE-944E-C351D1402A4C}" name="支払方法" dataDxfId="1058" totalsRowDxfId="1059"/>
    <tableColumn id="8" xr3:uid="{3B0312BA-5BDD-4B83-8C3B-9CBEC09CD6DE}" name="支払金額" totalsRowFunction="sum" dataDxfId="1056" totalsRowDxfId="1057"/>
    <tableColumn id="9" xr3:uid="{F7940087-2FAF-4E5C-B1CF-74238BAF0D11}" name="差引残高" totalsRowFunction="custom" dataDxfId="1054" totalsRowDxfId="1055">
      <calculatedColumnFormula>I1+F2-H2</calculatedColumnFormula>
      <totalsRowFormula>テーブル131213[[#Totals],[仕入金額]]-テーブル131213[[#Totals],[支払金額]]</totalsRowFormula>
    </tableColumn>
    <tableColumn id="10" xr3:uid="{AB508A1E-2A5F-4ED6-93F0-35B6A7F03F0D}" name="ソフト入力" dataDxfId="1052" totalsRowDxfId="1053"/>
    <tableColumn id="11" xr3:uid="{C7565ECF-6B85-4E1C-8350-4B291E53AFDC}" name="裕子" totalsRowFunction="count" dataDxfId="1050" totalsRowDxfId="1051"/>
  </tableColumns>
  <tableStyleInfo name="TableStyleLight18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3136728-F733-4159-B703-4B481F945201}" name="テーブル13121314" displayName="テーブル13121314" ref="A1:K48" totalsRowCount="1" headerRowDxfId="1049" headerRowBorderDxfId="1047" tableBorderDxfId="1048">
  <autoFilter ref="A1:K47" xr:uid="{84424A3F-6FAF-439F-9300-F3D82AE30E20}"/>
  <tableColumns count="11">
    <tableColumn id="1" xr3:uid="{9C17F2C6-0B36-4206-99DB-1E003BF7D41B}" name="日付" totalsRowLabel="集計" dataDxfId="1045" totalsRowDxfId="1046"/>
    <tableColumn id="2" xr3:uid="{16178487-6523-4421-9937-F37591742301}" name="現場名" dataDxfId="1043" totalsRowDxfId="1044"/>
    <tableColumn id="3" xr3:uid="{96376929-9B60-4372-8A53-8B1C8B8DA49D}" name="品名" dataDxfId="1041" totalsRowDxfId="1042"/>
    <tableColumn id="4" xr3:uid="{7F2EFBBF-F236-43F0-A5EA-5F4A5498B247}" name="数量" dataDxfId="1039" totalsRowDxfId="1040"/>
    <tableColumn id="5" xr3:uid="{A8A85145-D20D-482F-96F5-940CFD568326}" name="単価" dataDxfId="1037" totalsRowDxfId="1038"/>
    <tableColumn id="6" xr3:uid="{73643B3A-35F1-4A15-9E1D-18B57A4DA644}" name="仕入金額" totalsRowFunction="sum" dataDxfId="1035" totalsRowDxfId="1036">
      <calculatedColumnFormula>D2*E2</calculatedColumnFormula>
    </tableColumn>
    <tableColumn id="7" xr3:uid="{0F7C8E2D-3033-4E84-A998-8A0AD79B277C}" name="支払方法" dataDxfId="1033" totalsRowDxfId="1034"/>
    <tableColumn id="8" xr3:uid="{9D35E979-7FE4-4FC6-B03A-BF43E2F7A1CB}" name="支払金額" totalsRowFunction="sum" dataDxfId="1031" totalsRowDxfId="1032"/>
    <tableColumn id="9" xr3:uid="{1A2D6C16-603F-4FA8-8A81-1A310E12F6EF}" name="差引残高" totalsRowFunction="custom" dataDxfId="1029" totalsRowDxfId="1030">
      <calculatedColumnFormula>I1+F2-H2</calculatedColumnFormula>
      <totalsRowFormula>テーブル13121314[[#Totals],[仕入金額]]-テーブル13121314[[#Totals],[支払金額]]</totalsRowFormula>
    </tableColumn>
    <tableColumn id="10" xr3:uid="{331203CF-62AD-4E25-AD8A-4CED8693999C}" name="ソフト入力" dataDxfId="1027" totalsRowDxfId="1028"/>
    <tableColumn id="11" xr3:uid="{57A81239-1753-4E20-ADE9-B160AF35A5FF}" name="裕子" totalsRowFunction="count" dataDxfId="1025" totalsRowDxfId="1026"/>
  </tableColumns>
  <tableStyleInfo name="TableStyleLight18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366A333-7C31-424A-8DCE-8A0A1B36A7C1}" name="テーブル1312131415" displayName="テーブル1312131415" ref="A1:K48" totalsRowCount="1" headerRowDxfId="1024" headerRowBorderDxfId="1022" tableBorderDxfId="1023">
  <autoFilter ref="A1:K47" xr:uid="{84424A3F-6FAF-439F-9300-F3D82AE30E20}"/>
  <tableColumns count="11">
    <tableColumn id="1" xr3:uid="{9E4059A2-67CB-48BB-AA2D-C1C495026682}" name="日付" totalsRowLabel="集計" dataDxfId="1020" totalsRowDxfId="1021"/>
    <tableColumn id="2" xr3:uid="{CC2F025A-9F7E-4035-9038-E9A4663837A4}" name="現場名" dataDxfId="1018" totalsRowDxfId="1019"/>
    <tableColumn id="3" xr3:uid="{022F3135-3E91-461A-8C1F-8B2480BA9FCB}" name="品名" dataDxfId="1016" totalsRowDxfId="1017"/>
    <tableColumn id="4" xr3:uid="{F8D75186-99C4-4D66-A688-52395192827C}" name="数量" dataDxfId="1014" totalsRowDxfId="1015"/>
    <tableColumn id="5" xr3:uid="{1F67AEF4-C3B1-46D3-BE4B-60736724B204}" name="単価" dataDxfId="1012" totalsRowDxfId="1013" totalsRowCellStyle="桁区切り"/>
    <tableColumn id="6" xr3:uid="{2E798D55-31B6-4F39-870A-6D5893E95968}" name="仕入金額" totalsRowFunction="sum" dataDxfId="1010" totalsRowDxfId="1011" totalsRowCellStyle="桁区切り">
      <calculatedColumnFormula>D2*E2</calculatedColumnFormula>
    </tableColumn>
    <tableColumn id="7" xr3:uid="{2B9BD519-5D3F-4319-8A52-46F243AE227B}" name="支払方法" dataDxfId="1008" totalsRowDxfId="1009" totalsRowCellStyle="桁区切り"/>
    <tableColumn id="8" xr3:uid="{C187938D-19A4-48A3-A4B0-1AC8E9541A16}" name="支払金額" totalsRowFunction="sum" dataDxfId="1006" totalsRowDxfId="1007" totalsRowCellStyle="桁区切り"/>
    <tableColumn id="9" xr3:uid="{1A98EB4A-5486-4E38-AAB2-BE8E1D45F09C}" name="差引残高" totalsRowFunction="custom" dataDxfId="1004" totalsRowDxfId="1005" totalsRowCellStyle="桁区切り">
      <calculatedColumnFormula>I1+F2-H2</calculatedColumnFormula>
      <totalsRowFormula>テーブル1312131415[[#Totals],[仕入金額]]-テーブル1312131415[[#Totals],[支払金額]]</totalsRowFormula>
    </tableColumn>
    <tableColumn id="10" xr3:uid="{CBEEE093-243D-4862-8170-2107C56BBF0B}" name="ソフト入力" dataDxfId="1002" totalsRowDxfId="1003" totalsRowCellStyle="桁区切り"/>
    <tableColumn id="11" xr3:uid="{8547302B-CF52-4ACD-ACAE-2AE56A939060}" name="裕子" totalsRowFunction="count" dataDxfId="1000" totalsRowDxfId="1001" totalsRowCellStyle="桁区切り"/>
  </tableColumns>
  <tableStyleInfo name="TableStyleLight18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187FFF8-E1A8-433B-A032-CB16FE419319}" name="テーブル131213141516" displayName="テーブル131213141516" ref="A1:K48" totalsRowCount="1" headerRowDxfId="999" headerRowBorderDxfId="997" tableBorderDxfId="998">
  <autoFilter ref="A1:K47" xr:uid="{84424A3F-6FAF-439F-9300-F3D82AE30E20}"/>
  <tableColumns count="11">
    <tableColumn id="1" xr3:uid="{7C6789B8-FBD5-473A-AF45-2BDBFB308FDC}" name="日付" totalsRowLabel="集計" dataDxfId="995" totalsRowDxfId="996"/>
    <tableColumn id="2" xr3:uid="{F4F55B93-3420-4E1E-AC14-6DEC85FEAAD6}" name="現場名" dataDxfId="993" totalsRowDxfId="994"/>
    <tableColumn id="3" xr3:uid="{D39509D5-B668-4945-8F26-B052451CC06E}" name="品名" dataDxfId="991" totalsRowDxfId="992"/>
    <tableColumn id="4" xr3:uid="{68F5F41A-E447-498F-8987-0AD72F72A0EA}" name="数量" dataDxfId="989" totalsRowDxfId="990"/>
    <tableColumn id="5" xr3:uid="{83BE741C-6D05-49D4-90FD-68FDACE18FC4}" name="単価" dataDxfId="987" totalsRowDxfId="988"/>
    <tableColumn id="6" xr3:uid="{0DA02526-FC54-4EAB-875F-012C9A4A1417}" name="仕入金額" totalsRowFunction="sum" dataDxfId="985" totalsRowDxfId="986">
      <calculatedColumnFormula>D2*E2</calculatedColumnFormula>
    </tableColumn>
    <tableColumn id="7" xr3:uid="{A6BDC66A-EFB8-4D2E-9B88-0B8DBFFCD580}" name="支払方法" dataDxfId="983" totalsRowDxfId="984"/>
    <tableColumn id="8" xr3:uid="{9B97879E-14B6-4584-9A95-2CFD3639F532}" name="支払金額" totalsRowFunction="sum" dataDxfId="981" totalsRowDxfId="982"/>
    <tableColumn id="9" xr3:uid="{A31101EF-1587-4D90-9FDB-63368FF9797B}" name="差引残高" totalsRowFunction="custom" dataDxfId="979" totalsRowDxfId="980">
      <calculatedColumnFormula>I1+F2-H2</calculatedColumnFormula>
      <totalsRowFormula>テーブル131213141516[[#Totals],[仕入金額]]-テーブル131213141516[[#Totals],[支払金額]]</totalsRowFormula>
    </tableColumn>
    <tableColumn id="10" xr3:uid="{460B1FD4-8270-4E65-A540-0BCB3558AB23}" name="ソフト入力" dataDxfId="977" totalsRowDxfId="978"/>
    <tableColumn id="11" xr3:uid="{840E600A-41E2-447C-AB52-45DB0399B841}" name="裕子" totalsRowFunction="count" dataDxfId="975" totalsRowDxfId="976"/>
  </tableColumns>
  <tableStyleInfo name="TableStyleLight18" showFirstColumn="0" showLastColumn="0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802319C-3444-459D-BC3D-1DD4DA17CBA5}" name="テーブル13121314151617" displayName="テーブル13121314151617" ref="A1:K48" totalsRowCount="1" headerRowDxfId="974" headerRowBorderDxfId="972" tableBorderDxfId="973">
  <autoFilter ref="A1:K47" xr:uid="{84424A3F-6FAF-439F-9300-F3D82AE30E20}"/>
  <tableColumns count="11">
    <tableColumn id="1" xr3:uid="{328EB32F-5801-44FF-B545-74B6112AEE20}" name="日付" totalsRowLabel="集計" dataDxfId="970" totalsRowDxfId="971"/>
    <tableColumn id="2" xr3:uid="{1F6B2D71-503C-43A3-A7D4-249D1A8CF4F2}" name="現場名" dataDxfId="968" totalsRowDxfId="969"/>
    <tableColumn id="3" xr3:uid="{001A669B-0C2E-4F25-9F11-10B51F5718D2}" name="品名" dataDxfId="966" totalsRowDxfId="967"/>
    <tableColumn id="4" xr3:uid="{FFB7A266-3A62-4F64-BEF2-60DDB713C60A}" name="数量" dataDxfId="964" totalsRowDxfId="965"/>
    <tableColumn id="5" xr3:uid="{1E0228CB-E001-4AEF-8050-5D910629BD31}" name="単価" dataDxfId="962" totalsRowDxfId="963"/>
    <tableColumn id="6" xr3:uid="{C870043F-BD50-48CA-914F-38FC6820BE8B}" name="仕入金額" totalsRowFunction="sum" dataDxfId="960" totalsRowDxfId="961">
      <calculatedColumnFormula>D2*E2</calculatedColumnFormula>
    </tableColumn>
    <tableColumn id="7" xr3:uid="{415B5A47-B1D8-45FF-8E4B-36BF2365A096}" name="支払方法" dataDxfId="958" totalsRowDxfId="959"/>
    <tableColumn id="8" xr3:uid="{EED925B9-9F4E-490F-9D12-998D7BFA13A0}" name="支払金額" totalsRowFunction="sum" dataDxfId="956" totalsRowDxfId="957"/>
    <tableColumn id="9" xr3:uid="{A75D55F8-DE29-4B15-ABA2-F058553F5FCF}" name="差引残高" totalsRowFunction="custom" dataDxfId="954" totalsRowDxfId="955">
      <calculatedColumnFormula>I1+F2-H2</calculatedColumnFormula>
      <totalsRowFormula>テーブル13121314151617[[#Totals],[仕入金額]]-テーブル13121314151617[[#Totals],[支払金額]]</totalsRowFormula>
    </tableColumn>
    <tableColumn id="10" xr3:uid="{FAF6E3D6-951F-4BF2-8D04-CEB81D302AA5}" name="ソフト入力" dataDxfId="952" totalsRowDxfId="953"/>
    <tableColumn id="11" xr3:uid="{F0E850E9-2775-47CF-BED0-970A5A3F2A6F}" name="裕子" totalsRowFunction="count" dataDxfId="950" totalsRowDxfId="951"/>
  </tableColumns>
  <tableStyleInfo name="TableStyleLight18" showFirstColumn="0" showLastColumn="0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7AD35D2-710D-4C12-8527-5742C990D71B}" name="テーブル1312131415161718" displayName="テーブル1312131415161718" ref="A1:K48" totalsRowCount="1" headerRowDxfId="949" headerRowBorderDxfId="947" tableBorderDxfId="948">
  <autoFilter ref="A1:K47" xr:uid="{84424A3F-6FAF-439F-9300-F3D82AE30E20}"/>
  <tableColumns count="11">
    <tableColumn id="1" xr3:uid="{AEFEA516-A33E-4913-A371-CC534DC79691}" name="日付" totalsRowLabel="集計" dataDxfId="945" totalsRowDxfId="946"/>
    <tableColumn id="2" xr3:uid="{D5980D27-FF15-4A2A-AED8-DCF427E9B3EA}" name="現場名" dataDxfId="943" totalsRowDxfId="944"/>
    <tableColumn id="3" xr3:uid="{A81CE431-5495-42A2-8675-EFFEAE68239B}" name="品名" dataDxfId="941" totalsRowDxfId="942"/>
    <tableColumn id="4" xr3:uid="{C8923481-65ED-4DE2-9D7E-C2365EDD14CD}" name="数量" dataDxfId="939" totalsRowDxfId="940"/>
    <tableColumn id="5" xr3:uid="{DF7E6871-7D96-4CA6-95B9-9CEBDBCF1994}" name="単価" dataDxfId="937" totalsRowDxfId="938" totalsRowCellStyle="桁区切り"/>
    <tableColumn id="6" xr3:uid="{2E944BAC-6BFC-4BCC-A60D-94925EE72775}" name="仕入金額" totalsRowFunction="sum" dataDxfId="935" totalsRowDxfId="936" totalsRowCellStyle="桁区切り">
      <calculatedColumnFormula>D2*E2</calculatedColumnFormula>
    </tableColumn>
    <tableColumn id="7" xr3:uid="{4E57413F-3717-415F-8B53-28050C9B329A}" name="支払方法" dataDxfId="933" totalsRowDxfId="934" totalsRowCellStyle="桁区切り"/>
    <tableColumn id="8" xr3:uid="{90C79F3A-AA8F-44F6-96FC-44A423C1DF12}" name="支払金額" totalsRowFunction="sum" dataDxfId="931" totalsRowDxfId="932" totalsRowCellStyle="桁区切り"/>
    <tableColumn id="9" xr3:uid="{0B816616-D96C-4785-8D9A-045DC1F79778}" name="差引残高" totalsRowFunction="custom" dataDxfId="929" totalsRowDxfId="930" totalsRowCellStyle="桁区切り">
      <calculatedColumnFormula>I1+F2-H2</calculatedColumnFormula>
      <totalsRowFormula>テーブル1312131415161718[[#Totals],[仕入金額]]-テーブル1312131415161718[[#Totals],[支払金額]]</totalsRowFormula>
    </tableColumn>
    <tableColumn id="10" xr3:uid="{520BCDF0-7BBA-4F5D-808A-B598119DA50B}" name="ソフト入力" dataDxfId="927" totalsRowDxfId="928" totalsRowCellStyle="桁区切り"/>
    <tableColumn id="11" xr3:uid="{72E2A518-2A3E-4BD1-AC35-AD4A68A62396}" name="裕子" totalsRowFunction="count" dataDxfId="925" totalsRowDxfId="926" totalsRowCellStyle="桁区切り"/>
  </tableColumns>
  <tableStyleInfo name="TableStyleLight18" showFirstColumn="0" showLastColumn="0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C0F6EB4-C3B0-43E4-9D83-30B9AC468A5C}" name="テーブル131213141516171819" displayName="テーブル131213141516171819" ref="A1:K48" totalsRowCount="1" headerRowDxfId="924" headerRowBorderDxfId="922" tableBorderDxfId="923">
  <autoFilter ref="A1:K47" xr:uid="{84424A3F-6FAF-439F-9300-F3D82AE30E20}"/>
  <tableColumns count="11">
    <tableColumn id="1" xr3:uid="{88AA2FCE-63DA-44B6-BBC5-642900494719}" name="日付" totalsRowLabel="集計" dataDxfId="920" totalsRowDxfId="921"/>
    <tableColumn id="2" xr3:uid="{56C6B680-B3D2-4799-95EA-AD6001D5B14A}" name="現場名" dataDxfId="918" totalsRowDxfId="919"/>
    <tableColumn id="3" xr3:uid="{8BEF670F-6D36-4B24-BAF0-F8B1D9B47DBB}" name="品名" dataDxfId="916" totalsRowDxfId="917"/>
    <tableColumn id="4" xr3:uid="{B3B3DE47-C888-4296-A983-A1F2194ACAE5}" name="数量" dataDxfId="914" totalsRowDxfId="915"/>
    <tableColumn id="5" xr3:uid="{4946E91F-E639-4125-86F2-7C28F6D180F3}" name="単価" dataDxfId="912" totalsRowDxfId="913" dataCellStyle="桁区切り"/>
    <tableColumn id="6" xr3:uid="{FE2B6E23-B132-4B3C-989E-721AB27484AA}" name="仕入金額" totalsRowFunction="sum" dataDxfId="910" totalsRowDxfId="911" dataCellStyle="桁区切り">
      <calculatedColumnFormula>D2*E2</calculatedColumnFormula>
    </tableColumn>
    <tableColumn id="7" xr3:uid="{2A519366-B344-4D69-9565-9FF5F2B19A40}" name="支払方法" dataDxfId="908" totalsRowDxfId="909" dataCellStyle="桁区切り"/>
    <tableColumn id="8" xr3:uid="{09B418C5-A0E5-42EA-A8AE-8D15FAD4FC4A}" name="支払金額" totalsRowFunction="sum" dataDxfId="906" totalsRowDxfId="907" dataCellStyle="桁区切り"/>
    <tableColumn id="9" xr3:uid="{F848110A-EBE6-4BC7-AD18-E82917450E7D}" name="差引残高" totalsRowFunction="custom" dataDxfId="904" totalsRowDxfId="905" dataCellStyle="桁区切り">
      <calculatedColumnFormula>I1+F2-H2</calculatedColumnFormula>
      <totalsRowFormula>テーブル131213141516171819[[#Totals],[仕入金額]]-テーブル131213141516171819[[#Totals],[支払金額]]</totalsRowFormula>
    </tableColumn>
    <tableColumn id="10" xr3:uid="{FAE64393-B487-4A2D-A272-933DFA042631}" name="ソフト入力" dataDxfId="902" totalsRowDxfId="903"/>
    <tableColumn id="11" xr3:uid="{467603C8-5400-46C6-B3D5-BD51ED1C31E4}" name="裕子" totalsRowFunction="count" dataDxfId="900" totalsRowDxfId="901"/>
  </tableColumns>
  <tableStyleInfo name="TableStyleLight18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64463BC-BA6B-4B16-9A2B-97CA72E64C12}" name="テーブル13121314151617181920" displayName="テーブル13121314151617181920" ref="A1:K48" totalsRowCount="1" headerRowDxfId="899" headerRowBorderDxfId="897" tableBorderDxfId="898">
  <autoFilter ref="A1:K47" xr:uid="{84424A3F-6FAF-439F-9300-F3D82AE30E20}"/>
  <tableColumns count="11">
    <tableColumn id="1" xr3:uid="{A06B214E-0EFB-4657-92A2-EAFE5829DCCB}" name="日付" totalsRowLabel="集計" dataDxfId="895" totalsRowDxfId="896"/>
    <tableColumn id="2" xr3:uid="{EACB8964-97F0-4FF2-B4C9-6D7A88DD4769}" name="現場名" dataDxfId="893" totalsRowDxfId="894"/>
    <tableColumn id="3" xr3:uid="{99AD3672-CA91-4D19-AAAD-ACDE84BA44BA}" name="品名" dataDxfId="891" totalsRowDxfId="892"/>
    <tableColumn id="4" xr3:uid="{F07A2FB1-C8D4-44C9-9A84-5D8529734EE9}" name="数量" dataDxfId="889" totalsRowDxfId="890"/>
    <tableColumn id="5" xr3:uid="{BC61D5CA-F8F7-4AE2-804B-503602247BA4}" name="単価" dataDxfId="887" totalsRowDxfId="888"/>
    <tableColumn id="6" xr3:uid="{C29B036A-EDB0-484C-82EB-1557182FD770}" name="仕入金額" totalsRowFunction="sum" dataDxfId="885" totalsRowDxfId="886">
      <calculatedColumnFormula>D2*E2</calculatedColumnFormula>
    </tableColumn>
    <tableColumn id="7" xr3:uid="{1E6A2106-F261-4EC5-96CA-E09681F19BF3}" name="支払方法" dataDxfId="883" totalsRowDxfId="884"/>
    <tableColumn id="8" xr3:uid="{E22BBEFE-BA29-4EEB-9E6B-854F8539790E}" name="支払金額" totalsRowFunction="sum" dataDxfId="881" totalsRowDxfId="882"/>
    <tableColumn id="9" xr3:uid="{7AD1440A-D507-45EF-8D43-5CCECFC2E917}" name="差引残高" totalsRowFunction="custom" dataDxfId="879" totalsRowDxfId="880">
      <calculatedColumnFormula>I1+F2-H2</calculatedColumnFormula>
      <totalsRowFormula>テーブル13121314151617181920[[#Totals],[仕入金額]]-テーブル13121314151617181920[[#Totals],[支払金額]]</totalsRowFormula>
    </tableColumn>
    <tableColumn id="10" xr3:uid="{00D3A42E-5DED-4A3F-90FF-BF9D979147C0}" name="ソフト入力" dataDxfId="877" totalsRowDxfId="878"/>
    <tableColumn id="11" xr3:uid="{02A538BE-B22E-40C4-B9B1-E21643A18442}" name="裕子" totalsRowFunction="count" dataDxfId="875" totalsRowDxfId="876"/>
  </tableColumns>
  <tableStyleInfo name="TableStyleLight18" showFirstColumn="0" showLastColumn="0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ACF1CE6-38E2-4002-B7E4-04524F649118}" name="テーブル1312131415161718192021" displayName="テーブル1312131415161718192021" ref="A1:K48" totalsRowCount="1" headerRowDxfId="874" headerRowBorderDxfId="872" tableBorderDxfId="873">
  <autoFilter ref="A1:K47" xr:uid="{84424A3F-6FAF-439F-9300-F3D82AE30E20}"/>
  <tableColumns count="11">
    <tableColumn id="1" xr3:uid="{09CFEC2B-AA3D-4020-82E4-2295338CF5CC}" name="日付" totalsRowLabel="集計" dataDxfId="870" totalsRowDxfId="871"/>
    <tableColumn id="2" xr3:uid="{B9D36BAD-887A-406D-AAD8-670A03215D77}" name="現場名" dataDxfId="868" totalsRowDxfId="869"/>
    <tableColumn id="3" xr3:uid="{622F42AC-F955-41D7-B9FD-762354D43382}" name="品名" dataDxfId="866" totalsRowDxfId="867"/>
    <tableColumn id="4" xr3:uid="{D17C58E9-9AA7-47BB-A4CF-A83B99D17A6E}" name="数量" dataDxfId="864" totalsRowDxfId="865"/>
    <tableColumn id="5" xr3:uid="{923EC9DB-5753-4334-A026-6F3EAE68D680}" name="単価" dataDxfId="862" totalsRowDxfId="863"/>
    <tableColumn id="6" xr3:uid="{9B65B846-6D5A-4C4E-A8C0-DB7ABBBDE8D1}" name="仕入金額" totalsRowFunction="sum" dataDxfId="860" totalsRowDxfId="861">
      <calculatedColumnFormula>D2*E2</calculatedColumnFormula>
    </tableColumn>
    <tableColumn id="7" xr3:uid="{134B2512-4222-481E-9276-71422DEFE42C}" name="支払方法" dataDxfId="858" totalsRowDxfId="859"/>
    <tableColumn id="8" xr3:uid="{69A179CD-8476-4ADB-B5B5-14D2A14C572A}" name="支払金額" totalsRowFunction="sum" dataDxfId="856" totalsRowDxfId="857"/>
    <tableColumn id="9" xr3:uid="{6B6FB5B5-C95A-47C4-BA47-0E81F94BFC84}" name="差引残高" totalsRowFunction="custom" dataDxfId="854" totalsRowDxfId="855">
      <calculatedColumnFormula>I1+F2-H2</calculatedColumnFormula>
      <totalsRowFormula>テーブル1312131415161718192021[[#Totals],[仕入金額]]-テーブル1312131415161718192021[[#Totals],[支払金額]]</totalsRowFormula>
    </tableColumn>
    <tableColumn id="10" xr3:uid="{A785D407-71A1-461E-8D4D-10676253E745}" name="ソフト入力" dataDxfId="852" totalsRowDxfId="853"/>
    <tableColumn id="11" xr3:uid="{72707F2F-184F-45F6-A7F0-053BAB1054D8}" name="裕子" totalsRowFunction="count" dataDxfId="850" totalsRowDxfId="851"/>
  </tableColumns>
  <tableStyleInfo name="TableStyleLight18" showFirstColumn="0" showLastColumn="0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E891C8-93FB-44E0-A053-E1B1DEE31B84}" name="テーブル13121314151617181920212" displayName="テーブル13121314151617181920212" ref="A1:K48" totalsRowCount="1" headerRowDxfId="849" headerRowBorderDxfId="847" tableBorderDxfId="848">
  <autoFilter ref="A1:K47" xr:uid="{84424A3F-6FAF-439F-9300-F3D82AE30E20}"/>
  <tableColumns count="11">
    <tableColumn id="1" xr3:uid="{4EAA483C-E1DE-44BB-8345-838724E4F1E2}" name="日付" totalsRowLabel="集計" dataDxfId="845" totalsRowDxfId="846"/>
    <tableColumn id="2" xr3:uid="{978EB81D-4A69-45FB-AD81-997E92033452}" name="現場名" dataDxfId="843" totalsRowDxfId="844"/>
    <tableColumn id="3" xr3:uid="{D32B62F9-B0D8-45EB-98B9-5D03441DF636}" name="品名" dataDxfId="841" totalsRowDxfId="842"/>
    <tableColumn id="4" xr3:uid="{51C5B1D8-C35B-4B63-BA3D-4DBC4910761A}" name="数量" dataDxfId="839" totalsRowDxfId="840"/>
    <tableColumn id="5" xr3:uid="{D574603A-837B-4A05-B7A8-AA1CC9A0D125}" name="単価" dataDxfId="837" totalsRowDxfId="838" totalsRowCellStyle="桁区切り"/>
    <tableColumn id="6" xr3:uid="{1345D97C-786C-4B59-93F7-9507700F0C5F}" name="仕入金額" totalsRowFunction="sum" dataDxfId="835" totalsRowDxfId="836" totalsRowCellStyle="桁区切り">
      <calculatedColumnFormula>D2*E2</calculatedColumnFormula>
    </tableColumn>
    <tableColumn id="7" xr3:uid="{D3A4CABE-146D-47C9-816B-696173439125}" name="支払方法" dataDxfId="833" totalsRowDxfId="834" totalsRowCellStyle="桁区切り"/>
    <tableColumn id="8" xr3:uid="{178878B3-9217-4D04-A51E-FD5C6744C81E}" name="支払金額" totalsRowFunction="sum" dataDxfId="831" totalsRowDxfId="832" totalsRowCellStyle="桁区切り"/>
    <tableColumn id="9" xr3:uid="{D8B88782-4B4E-4A39-8A13-010030FDBCA5}" name="差引残高" totalsRowFunction="custom" dataDxfId="829" totalsRowDxfId="830" totalsRowCellStyle="桁区切り">
      <calculatedColumnFormula>I1+F2-H2</calculatedColumnFormula>
      <totalsRowFormula>テーブル13121314151617181920212[[#Totals],[仕入金額]]-テーブル13121314151617181920212[[#Totals],[支払金額]]</totalsRowFormula>
    </tableColumn>
    <tableColumn id="10" xr3:uid="{253FF341-1E70-45CC-8AA2-109345EEC3C4}" name="ソフト入力" dataDxfId="827" totalsRowDxfId="828" totalsRowCellStyle="桁区切り"/>
    <tableColumn id="11" xr3:uid="{CECFB005-D2BA-4F2A-A6A5-B8880CBE82C9}" name="裕子" totalsRowFunction="count" dataDxfId="825" totalsRowDxfId="826" totalsRowCellStyle="桁区切り"/>
  </tableColumns>
  <tableStyleInfo name="TableStyleLight18" showFirstColumn="0" showLastColumn="0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59637F1-6E10-406A-BE35-E96B1D0F6571}" name="テーブル131213141516171819202122" displayName="テーブル131213141516171819202122" ref="A1:K48" totalsRowCount="1" headerRowDxfId="824" headerRowBorderDxfId="822" tableBorderDxfId="823">
  <autoFilter ref="A1:K47" xr:uid="{84424A3F-6FAF-439F-9300-F3D82AE30E20}"/>
  <tableColumns count="11">
    <tableColumn id="1" xr3:uid="{F71AE319-C905-4D24-A957-25BC054DFA6A}" name="日付" totalsRowLabel="集計" dataDxfId="820" totalsRowDxfId="821"/>
    <tableColumn id="2" xr3:uid="{099EEA03-D45D-41B1-B8E3-704C30E275B8}" name="現場名" dataDxfId="818" totalsRowDxfId="819"/>
    <tableColumn id="3" xr3:uid="{948C28DB-080F-450B-8265-1A0E89368A10}" name="品名" dataDxfId="816" totalsRowDxfId="817"/>
    <tableColumn id="4" xr3:uid="{033DF074-4E85-4F90-AC4A-EC5D6D30D197}" name="数量" dataDxfId="814" totalsRowDxfId="815"/>
    <tableColumn id="5" xr3:uid="{6C599183-1303-4B73-8BF9-3324E97CF90D}" name="単価" dataDxfId="812" totalsRowDxfId="813" dataCellStyle="桁区切り" totalsRowCellStyle="桁区切り"/>
    <tableColumn id="6" xr3:uid="{219C73DD-79F1-4FD2-8BC0-749FD4B388A8}" name="仕入金額" totalsRowFunction="sum" dataDxfId="810" totalsRowDxfId="811" dataCellStyle="桁区切り" totalsRowCellStyle="桁区切り">
      <calculatedColumnFormula>D2*E2</calculatedColumnFormula>
    </tableColumn>
    <tableColumn id="7" xr3:uid="{61AFE0DE-868B-477A-8C6C-1EC33B8E48CA}" name="支払方法" dataDxfId="808" totalsRowDxfId="809" dataCellStyle="桁区切り" totalsRowCellStyle="桁区切り"/>
    <tableColumn id="8" xr3:uid="{6A4CB50F-77A8-480B-9CFE-706564330956}" name="支払金額" totalsRowFunction="sum" dataDxfId="806" totalsRowDxfId="807" dataCellStyle="桁区切り" totalsRowCellStyle="桁区切り"/>
    <tableColumn id="9" xr3:uid="{9AC07CD4-0EEF-4E35-8BE3-69A013584600}" name="差引残高" totalsRowFunction="custom" dataDxfId="804" totalsRowDxfId="805" dataCellStyle="桁区切り" totalsRowCellStyle="桁区切り">
      <calculatedColumnFormula>I1+F2-H2</calculatedColumnFormula>
      <totalsRowFormula>テーブル131213141516171819202122[[#Totals],[仕入金額]]-テーブル131213141516171819202122[[#Totals],[支払金額]]</totalsRowFormula>
    </tableColumn>
    <tableColumn id="10" xr3:uid="{0233A38A-E411-4878-8DA1-01F666E7389C}" name="ソフト入力" dataDxfId="802" totalsRowDxfId="803" dataCellStyle="桁区切り" totalsRowCellStyle="桁区切り"/>
    <tableColumn id="11" xr3:uid="{B4E66421-1F1F-4311-AAAA-9038150AB5A6}" name="裕子" dataDxfId="800" totalsRowDxfId="801"/>
  </tableColumns>
  <tableStyleInfo name="TableStyleLight18" showFirstColumn="0" showLastColumn="0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1CEC0A2-6B70-4DF9-8551-F80C54E71654}" name="テーブル13121314151617181920212223" displayName="テーブル13121314151617181920212223" ref="A1:K48" totalsRowCount="1" headerRowDxfId="799" headerRowBorderDxfId="797" tableBorderDxfId="798">
  <autoFilter ref="A1:K47" xr:uid="{84424A3F-6FAF-439F-9300-F3D82AE30E20}"/>
  <tableColumns count="11">
    <tableColumn id="1" xr3:uid="{03FBB25F-B716-4F60-A20E-278F4C503BB3}" name="日付" totalsRowLabel="集計" dataDxfId="795" totalsRowDxfId="796"/>
    <tableColumn id="2" xr3:uid="{F0994B82-075C-4101-9EAF-083A8CFF0B56}" name="現場名" dataDxfId="793" totalsRowDxfId="794"/>
    <tableColumn id="3" xr3:uid="{1E0AD8AD-4160-45D9-8D92-EED2427230C6}" name="品名" dataDxfId="791" totalsRowDxfId="792"/>
    <tableColumn id="4" xr3:uid="{41C8BA6A-679F-45BC-9E3F-516E52703200}" name="数量" dataDxfId="789" totalsRowDxfId="790"/>
    <tableColumn id="5" xr3:uid="{F1DA1B77-B44D-4B97-A1EB-DD2CADC9E38E}" name="単価" dataDxfId="787" totalsRowDxfId="788" dataCellStyle="桁区切り" totalsRowCellStyle="桁区切り"/>
    <tableColumn id="6" xr3:uid="{22D9EEAE-72BC-468A-87CA-141052324605}" name="仕入金額" totalsRowFunction="sum" dataDxfId="785" totalsRowDxfId="786" dataCellStyle="桁区切り" totalsRowCellStyle="桁区切り">
      <calculatedColumnFormula>D2*E2</calculatedColumnFormula>
    </tableColumn>
    <tableColumn id="7" xr3:uid="{7114FC6B-81A6-4380-A43C-06FCBDD8848A}" name="支払方法" dataDxfId="783" totalsRowDxfId="784" dataCellStyle="桁区切り" totalsRowCellStyle="桁区切り"/>
    <tableColumn id="8" xr3:uid="{003F1A85-00EA-4D46-BDEB-84D73F0C2703}" name="支払金額" totalsRowFunction="sum" dataDxfId="781" totalsRowDxfId="782" dataCellStyle="桁区切り" totalsRowCellStyle="桁区切り"/>
    <tableColumn id="9" xr3:uid="{5E1CFCE5-EB88-4DB7-A5A3-565011B02CFB}" name="差引残高" totalsRowFunction="custom" dataDxfId="779" totalsRowDxfId="780" dataCellStyle="桁区切り" totalsRowCellStyle="桁区切り">
      <calculatedColumnFormula>I1+F2-H2</calculatedColumnFormula>
      <totalsRowFormula>テーブル13121314151617181920212223[[#Totals],[仕入金額]]-テーブル13121314151617181920212223[[#Totals],[支払金額]]</totalsRowFormula>
    </tableColumn>
    <tableColumn id="10" xr3:uid="{CF149079-6D94-452A-8AE8-F67D330594FA}" name="ソフト入力" dataDxfId="777" totalsRowDxfId="778" dataCellStyle="桁区切り" totalsRowCellStyle="桁区切り"/>
    <tableColumn id="11" xr3:uid="{D4AFDC73-5202-4C83-B3AE-24660D8ABA26}" name="裕子" totalsRowFunction="count" dataDxfId="775" totalsRowDxfId="776" dataCellStyle="桁区切り" totalsRowCellStyle="桁区切り"/>
  </tableColumns>
  <tableStyleInfo name="TableStyleLight18"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225FE48-3103-4992-A331-D5416888AC3F}" name="テーブル131213141516171819202122232425" displayName="テーブル131213141516171819202122232425" ref="A1:K48" totalsRowCount="1" headerRowDxfId="774" headerRowBorderDxfId="772" tableBorderDxfId="773">
  <autoFilter ref="A1:K47" xr:uid="{84424A3F-6FAF-439F-9300-F3D82AE30E20}"/>
  <tableColumns count="11">
    <tableColumn id="1" xr3:uid="{CE427609-4596-4DAA-813A-67DEA9F0AA10}" name="日付" totalsRowLabel="集計" dataDxfId="770" totalsRowDxfId="771"/>
    <tableColumn id="2" xr3:uid="{41409B68-B8A6-4994-93A1-D38C34796F97}" name="現場名" dataDxfId="768" totalsRowDxfId="769"/>
    <tableColumn id="3" xr3:uid="{950B471A-73FA-4A0A-80A6-AD06DC8F28F3}" name="品名" dataDxfId="766" totalsRowDxfId="767"/>
    <tableColumn id="4" xr3:uid="{F813CF84-7AA1-4D05-8CCA-2703B44FDB7F}" name="数量" dataDxfId="764" totalsRowDxfId="765"/>
    <tableColumn id="5" xr3:uid="{D7364D5D-B290-417C-BCDA-AEDD1324B5F8}" name="単価" dataDxfId="762" totalsRowDxfId="763"/>
    <tableColumn id="6" xr3:uid="{195B5A1C-2557-4D1C-A625-44E265F3CDDB}" name="仕入金額" totalsRowFunction="sum" dataDxfId="760" totalsRowDxfId="761">
      <calculatedColumnFormula>D2*E2</calculatedColumnFormula>
    </tableColumn>
    <tableColumn id="7" xr3:uid="{4733A554-4ABA-4B92-90F9-0000EB55CAA3}" name="支払方法" dataDxfId="758" totalsRowDxfId="759"/>
    <tableColumn id="8" xr3:uid="{3511DBD0-0238-4FFE-AE43-1CA42A921B01}" name="支払金額" totalsRowFunction="sum" dataDxfId="756" totalsRowDxfId="757"/>
    <tableColumn id="9" xr3:uid="{EDFD5441-CC70-429D-8741-5E22CF5B53BC}" name="差引残高" totalsRowFunction="custom" dataDxfId="754" totalsRowDxfId="755">
      <calculatedColumnFormula>I1+F2-H2</calculatedColumnFormula>
      <totalsRowFormula>テーブル131213141516171819202122232425[[#Totals],[仕入金額]]-テーブル131213141516171819202122232425[[#Totals],[支払金額]]</totalsRowFormula>
    </tableColumn>
    <tableColumn id="10" xr3:uid="{00939365-65F0-4BB4-823F-720CDDD7EAE6}" name="ソフト入力" dataDxfId="752" totalsRowDxfId="753"/>
    <tableColumn id="11" xr3:uid="{E277FA4D-C981-4CDC-97D0-888DA565EC95}" name="裕子" totalsRowFunction="count" dataDxfId="750" totalsRowDxfId="751"/>
  </tableColumns>
  <tableStyleInfo name="TableStyleLight18" showFirstColumn="0" showLastColumn="0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F5FE546-82F7-413C-836C-8B716C991460}" name="テーブル13121314151617181920212223242526" displayName="テーブル13121314151617181920212223242526" ref="A1:K48" totalsRowCount="1" headerRowDxfId="749" headerRowBorderDxfId="747" tableBorderDxfId="748">
  <autoFilter ref="A1:K47" xr:uid="{84424A3F-6FAF-439F-9300-F3D82AE30E20}"/>
  <tableColumns count="11">
    <tableColumn id="1" xr3:uid="{A39CC735-0C90-4E1B-935D-6AB42410D235}" name="日付" totalsRowLabel="集計" dataDxfId="745" totalsRowDxfId="746"/>
    <tableColumn id="2" xr3:uid="{893B6495-2E76-4AA4-A3CE-B1C21A0FFB82}" name="現場名" dataDxfId="743" totalsRowDxfId="744"/>
    <tableColumn id="3" xr3:uid="{14F09176-0EB7-43DE-A55A-867E5710FD03}" name="品名" dataDxfId="741" totalsRowDxfId="742"/>
    <tableColumn id="4" xr3:uid="{27D07881-41CF-46A9-B33E-7E0FE33EF885}" name="数量" dataDxfId="739" totalsRowDxfId="740"/>
    <tableColumn id="5" xr3:uid="{4A1F86D5-1D8E-4CCE-97C8-E8BD1D480B38}" name="単価" dataDxfId="737" totalsRowDxfId="738" dataCellStyle="桁区切り" totalsRowCellStyle="桁区切り"/>
    <tableColumn id="6" xr3:uid="{E6AF9022-F5AF-462C-B978-3218A0D2B248}" name="仕入金額" totalsRowFunction="sum" dataDxfId="735" totalsRowDxfId="736" dataCellStyle="桁区切り" totalsRowCellStyle="桁区切り">
      <calculatedColumnFormula>D2*E2</calculatedColumnFormula>
    </tableColumn>
    <tableColumn id="7" xr3:uid="{FD26B730-D999-4D8C-B4C3-2B31B6E0CEC3}" name="支払方法" dataDxfId="733" totalsRowDxfId="734" dataCellStyle="桁区切り" totalsRowCellStyle="桁区切り"/>
    <tableColumn id="8" xr3:uid="{872634A5-CE0E-469B-9F4C-0BE0EAC0D5B5}" name="支払金額" totalsRowFunction="sum" dataDxfId="731" totalsRowDxfId="732" dataCellStyle="桁区切り" totalsRowCellStyle="桁区切り"/>
    <tableColumn id="9" xr3:uid="{106B2E5E-B3A9-4177-ACD5-1B08570C45C2}" name="差引残高" totalsRowFunction="custom" dataDxfId="729" totalsRowDxfId="730" dataCellStyle="桁区切り" totalsRowCellStyle="桁区切り">
      <calculatedColumnFormula>I1+F2-H2</calculatedColumnFormula>
      <totalsRowFormula>テーブル13121314151617181920212223242526[[#Totals],[仕入金額]]-テーブル13121314151617181920212223242526[[#Totals],[支払金額]]</totalsRowFormula>
    </tableColumn>
    <tableColumn id="10" xr3:uid="{8A050681-F4F7-4AF9-B1FB-830813874ED0}" name="ソフト入力" dataDxfId="727" totalsRowDxfId="728" dataCellStyle="桁区切り" totalsRowCellStyle="桁区切り"/>
    <tableColumn id="11" xr3:uid="{99CEE4AB-32B1-4845-94C7-7238F695B4DC}" name="裕子" dataDxfId="725" totalsRowDxfId="726" dataCellStyle="桁区切り" totalsRowCellStyle="桁区切り"/>
  </tableColumns>
  <tableStyleInfo name="TableStyleLight18" showFirstColumn="0" showLastColumn="0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3D60850-5789-4BA6-8D16-9FB8EEA0D9D9}" name="テーブル131213141516171819202122232427" displayName="テーブル131213141516171819202122232427" ref="A1:K48" totalsRowCount="1" headerRowDxfId="724" headerRowBorderDxfId="722" tableBorderDxfId="723">
  <autoFilter ref="A1:K47" xr:uid="{84424A3F-6FAF-439F-9300-F3D82AE30E20}"/>
  <tableColumns count="11">
    <tableColumn id="1" xr3:uid="{CFA54A58-2789-41F4-A789-4E0EFFD8CE10}" name="日付" totalsRowLabel="集計" dataDxfId="720" totalsRowDxfId="721"/>
    <tableColumn id="2" xr3:uid="{D76C16EC-B222-4DD8-BE88-08E061E78EBD}" name="現場名" dataDxfId="718" totalsRowDxfId="719"/>
    <tableColumn id="3" xr3:uid="{7EE1C43B-48DE-467A-84F8-9661F2CB0A26}" name="品名" dataDxfId="716" totalsRowDxfId="717"/>
    <tableColumn id="4" xr3:uid="{36DE4668-A764-48B1-B72F-161ACC9F8308}" name="数量" dataDxfId="714" totalsRowDxfId="715"/>
    <tableColumn id="5" xr3:uid="{9A38E632-4168-4631-A0AA-3F61E2FAC1C5}" name="単価" dataDxfId="712" totalsRowDxfId="713" dataCellStyle="桁区切り" totalsRowCellStyle="桁区切り"/>
    <tableColumn id="6" xr3:uid="{A98B835E-CCE8-4FD3-AC95-00F1F36ED9E0}" name="仕入金額" totalsRowFunction="sum" dataDxfId="710" totalsRowDxfId="711" dataCellStyle="桁区切り" totalsRowCellStyle="桁区切り">
      <calculatedColumnFormula>D2*E2</calculatedColumnFormula>
    </tableColumn>
    <tableColumn id="7" xr3:uid="{1F5FACFB-2EF9-466F-B55A-8E9B941EBBB2}" name="支払方法" dataDxfId="708" totalsRowDxfId="709" dataCellStyle="桁区切り" totalsRowCellStyle="桁区切り"/>
    <tableColumn id="8" xr3:uid="{F7CEE276-3961-46D0-BD6F-39BA0F04BCF7}" name="支払金額" totalsRowFunction="sum" dataDxfId="706" totalsRowDxfId="707" dataCellStyle="桁区切り" totalsRowCellStyle="桁区切り"/>
    <tableColumn id="9" xr3:uid="{64D4D3E4-099A-4CE4-9281-54618836ED8A}" name="差引残高" totalsRowFunction="custom" dataDxfId="704" totalsRowDxfId="705" dataCellStyle="桁区切り" totalsRowCellStyle="桁区切り">
      <calculatedColumnFormula>I1+F2-H2</calculatedColumnFormula>
      <totalsRowFormula>テーブル131213141516171819202122232427[[#Totals],[仕入金額]]-テーブル131213141516171819202122232427[[#Totals],[支払金額]]</totalsRowFormula>
    </tableColumn>
    <tableColumn id="10" xr3:uid="{AA60BC2F-BCCF-4D7A-B9A4-0313C631A654}" name="ソフト入力" dataDxfId="702" totalsRowDxfId="703" dataCellStyle="桁区切り" totalsRowCellStyle="桁区切り"/>
    <tableColumn id="11" xr3:uid="{DF99E028-CDA6-4F7A-9A74-0DF6A7D72BF4}" name="裕子" totalsRowFunction="count" dataDxfId="700" totalsRowDxfId="701"/>
  </tableColumns>
  <tableStyleInfo name="TableStyleLight18"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493B748-C792-4DDE-BFA5-BC6921BECA7D}" name="テーブル1312131415161718192021222324" displayName="テーブル1312131415161718192021222324" ref="A1:K48" totalsRowCount="1" headerRowDxfId="699" headerRowBorderDxfId="697" tableBorderDxfId="698">
  <autoFilter ref="A1:K47" xr:uid="{84424A3F-6FAF-439F-9300-F3D82AE30E20}"/>
  <tableColumns count="11">
    <tableColumn id="1" xr3:uid="{8D65771F-D6B3-4727-A948-949E273AA20A}" name="日付" totalsRowLabel="集計" dataDxfId="695" totalsRowDxfId="696"/>
    <tableColumn id="2" xr3:uid="{80F2EAFF-2A15-4250-8839-32BF394975EF}" name="現場名" dataDxfId="693" totalsRowDxfId="694"/>
    <tableColumn id="3" xr3:uid="{CEF0861B-1956-4D73-92C9-BA031472D181}" name="品名" dataDxfId="691" totalsRowDxfId="692"/>
    <tableColumn id="4" xr3:uid="{386BBF8C-124D-4A74-A0F9-75CC5E0343CB}" name="数量" dataDxfId="689" totalsRowDxfId="690"/>
    <tableColumn id="5" xr3:uid="{B9A93B45-C0F6-4D4B-B417-1A21363DB8CF}" name="単価" dataDxfId="687" totalsRowDxfId="688"/>
    <tableColumn id="6" xr3:uid="{027135BF-3ECE-4940-9958-8394C8DCFAC3}" name="仕入金額" totalsRowFunction="sum" dataDxfId="685" totalsRowDxfId="686">
      <calculatedColumnFormula>D2*E2</calculatedColumnFormula>
    </tableColumn>
    <tableColumn id="7" xr3:uid="{C3D628FA-C341-4DB3-996D-4B7D789966F8}" name="支払方法" dataDxfId="683" totalsRowDxfId="684"/>
    <tableColumn id="8" xr3:uid="{93295DBA-7926-4D85-961B-526A4189EAA0}" name="支払金額" totalsRowFunction="sum" dataDxfId="681" totalsRowDxfId="682"/>
    <tableColumn id="9" xr3:uid="{0699746C-3857-461E-AB0E-0205FFF7111F}" name="差引残高" totalsRowFunction="custom" dataDxfId="679" totalsRowDxfId="680">
      <calculatedColumnFormula>I1+F2-H2</calculatedColumnFormula>
      <totalsRowFormula>テーブル1312131415161718192021222324[[#Totals],[仕入金額]]-テーブル1312131415161718192021222324[[#Totals],[支払金額]]</totalsRowFormula>
    </tableColumn>
    <tableColumn id="10" xr3:uid="{8F3A2310-145C-49B6-BDD5-13BE93C70631}" name="ソフト入力" dataDxfId="677" totalsRowDxfId="678"/>
    <tableColumn id="11" xr3:uid="{D591556F-D21E-4E04-8F2C-91E2DAB338BD}" name="裕子" totalsRowFunction="count" dataDxfId="675" totalsRowDxfId="676"/>
  </tableColumns>
  <tableStyleInfo name="TableStyleLight18" showFirstColumn="0" showLastColumn="0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47286C2-ADF5-4BA4-8552-5D2058B08074}" name="テーブル13121314151617181920212223242728" displayName="テーブル13121314151617181920212223242728" ref="A1:K48" totalsRowCount="1" headerRowDxfId="674" headerRowBorderDxfId="672" tableBorderDxfId="673">
  <autoFilter ref="A1:K47" xr:uid="{84424A3F-6FAF-439F-9300-F3D82AE30E20}"/>
  <tableColumns count="11">
    <tableColumn id="1" xr3:uid="{AA9E8604-2F1C-49A8-B8B5-43D28A713843}" name="日付" totalsRowLabel="集計" dataDxfId="670" totalsRowDxfId="671"/>
    <tableColumn id="2" xr3:uid="{ED565080-80ED-477A-9F0A-5E7E8B19738D}" name="現場名" dataDxfId="668" totalsRowDxfId="669"/>
    <tableColumn id="3" xr3:uid="{0E4B8B9B-8B0C-408C-B0FF-630363B71B35}" name="品名" dataDxfId="666" totalsRowDxfId="667"/>
    <tableColumn id="4" xr3:uid="{5AE8A25F-EB1E-49BC-96A9-D1E81BD63553}" name="数量" dataDxfId="664" totalsRowDxfId="665"/>
    <tableColumn id="5" xr3:uid="{36996C06-94D6-4C6D-95B5-A78B4871100D}" name="単価" dataDxfId="662" totalsRowDxfId="663" dataCellStyle="桁区切り"/>
    <tableColumn id="6" xr3:uid="{F4F06171-FC46-4861-A8A4-D112E3A09384}" name="仕入金額" totalsRowFunction="sum" dataDxfId="660" totalsRowDxfId="661" dataCellStyle="桁区切り">
      <calculatedColumnFormula>D2*E2</calculatedColumnFormula>
    </tableColumn>
    <tableColumn id="7" xr3:uid="{D83BF2F5-1D9A-4A59-AB47-6F65A94B9F42}" name="支払方法" dataDxfId="658" totalsRowDxfId="659" dataCellStyle="桁区切り"/>
    <tableColumn id="8" xr3:uid="{042525EF-5DFF-4B7C-971A-1EBE0481AB71}" name="支払金額" totalsRowFunction="sum" dataDxfId="656" totalsRowDxfId="657" dataCellStyle="桁区切り"/>
    <tableColumn id="9" xr3:uid="{B68DCAE8-4A4B-4E0D-9F15-8291EE3B4E8E}" name="差引残高" totalsRowFunction="custom" dataDxfId="654" totalsRowDxfId="655" dataCellStyle="桁区切り">
      <calculatedColumnFormula>I1+F2-H2</calculatedColumnFormula>
      <totalsRowFormula>テーブル13121314151617181920212223242728[[#Totals],[仕入金額]]-テーブル13121314151617181920212223242728[[#Totals],[支払金額]]</totalsRowFormula>
    </tableColumn>
    <tableColumn id="10" xr3:uid="{85B22AE5-BFAF-4490-AC97-F71E35730F36}" name="ソフト入力" dataDxfId="652" totalsRowDxfId="653" dataCellStyle="桁区切り"/>
    <tableColumn id="11" xr3:uid="{2B808906-FF36-47C1-8DC2-CECDC2364FCE}" name="裕子" totalsRowFunction="count" dataDxfId="650" totalsRowDxfId="651" dataCellStyle="桁区切り"/>
  </tableColumns>
  <tableStyleInfo name="TableStyleLight18" showFirstColumn="0" showLastColumn="0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F7A5997-DC63-45E0-8603-A556CE955A8D}" name="テーブル1312131415161718192021222324272829" displayName="テーブル1312131415161718192021222324272829" ref="A1:K48" totalsRowCount="1" headerRowDxfId="649" headerRowBorderDxfId="647" tableBorderDxfId="648">
  <autoFilter ref="A1:K47" xr:uid="{84424A3F-6FAF-439F-9300-F3D82AE30E20}"/>
  <tableColumns count="11">
    <tableColumn id="1" xr3:uid="{914B611C-5CEA-484E-86FC-E03029CBBBD2}" name="日付" totalsRowLabel="集計" dataDxfId="645" totalsRowDxfId="646"/>
    <tableColumn id="2" xr3:uid="{9C41B82D-00EF-4166-8DF6-3C2DA790F0AA}" name="現場名" dataDxfId="643" totalsRowDxfId="644"/>
    <tableColumn id="3" xr3:uid="{2386B60B-9E94-49CC-A772-91CE23ECD7B9}" name="品名" dataDxfId="641" totalsRowDxfId="642"/>
    <tableColumn id="4" xr3:uid="{9589A7A5-8708-4803-89CA-0418A34B3467}" name="数量" dataDxfId="639" totalsRowDxfId="640"/>
    <tableColumn id="5" xr3:uid="{85091A2C-C38A-4AE8-B636-641539DDF5CB}" name="単価" dataDxfId="637" totalsRowDxfId="638" dataCellStyle="桁区切り"/>
    <tableColumn id="6" xr3:uid="{60380E86-BF87-490E-AC5E-E98A4352DD7D}" name="仕入金額" totalsRowFunction="sum" dataDxfId="635" totalsRowDxfId="636" dataCellStyle="桁区切り">
      <calculatedColumnFormula>D2*E2</calculatedColumnFormula>
    </tableColumn>
    <tableColumn id="7" xr3:uid="{864C6E27-0B19-4842-8B50-C1C555A8E5C3}" name="支払方法" dataDxfId="633" totalsRowDxfId="634" dataCellStyle="桁区切り"/>
    <tableColumn id="8" xr3:uid="{5DC136A7-6D23-4F36-9F74-AC0F731676A8}" name="支払金額" totalsRowFunction="sum" dataDxfId="631" totalsRowDxfId="632" dataCellStyle="桁区切り"/>
    <tableColumn id="9" xr3:uid="{12A1EA68-827B-4872-9A37-1D38DB19902B}" name="差引残高" totalsRowFunction="custom" dataDxfId="629" totalsRowDxfId="630" dataCellStyle="桁区切り">
      <calculatedColumnFormula>I1+F2-H2</calculatedColumnFormula>
      <totalsRowFormula>テーブル1312131415161718192021222324272829[[#Totals],[仕入金額]]-テーブル1312131415161718192021222324272829[[#Totals],[支払金額]]</totalsRowFormula>
    </tableColumn>
    <tableColumn id="10" xr3:uid="{549C2C3B-370F-4BD2-AC44-C06673C781B8}" name="ソフト入力" dataDxfId="627" totalsRowDxfId="628" dataCellStyle="桁区切り"/>
    <tableColumn id="11" xr3:uid="{C0534BF4-E0F0-46E9-93CE-D2F208DA988F}" name="裕子" totalsRowFunction="count" dataDxfId="625" totalsRowDxfId="626" dataCellStyle="桁区切り"/>
  </tableColumns>
  <tableStyleInfo name="TableStyleLight18" showFirstColumn="0" showLastColumn="0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6C643A7-E879-48F2-B902-E8D6B19420F4}" name="テーブル131213141516171819202122232427282930" displayName="テーブル131213141516171819202122232427282930" ref="A1:K48" totalsRowCount="1" headerRowDxfId="624" headerRowBorderDxfId="622" tableBorderDxfId="623">
  <autoFilter ref="A1:K47" xr:uid="{84424A3F-6FAF-439F-9300-F3D82AE30E20}"/>
  <tableColumns count="11">
    <tableColumn id="1" xr3:uid="{14C701A4-B98D-4418-A4DB-4847E9F1A019}" name="日付" totalsRowLabel="集計" dataDxfId="620" totalsRowDxfId="621"/>
    <tableColumn id="2" xr3:uid="{C3E5E612-79A3-48BD-8A4A-B673A12F6E9F}" name="現場名" dataDxfId="618" totalsRowDxfId="619"/>
    <tableColumn id="3" xr3:uid="{10CE433C-8895-4416-B59C-64F13A6A0435}" name="品名" dataDxfId="616" totalsRowDxfId="617"/>
    <tableColumn id="4" xr3:uid="{B97CAF91-24D4-433D-9EDD-A5A33B28816D}" name="数量" dataDxfId="614" totalsRowDxfId="615"/>
    <tableColumn id="5" xr3:uid="{D96CF91C-F673-4664-8B29-06E5EBBA89B0}" name="単価" dataDxfId="612" totalsRowDxfId="613" dataCellStyle="桁区切り" totalsRowCellStyle="桁区切り"/>
    <tableColumn id="6" xr3:uid="{841C41D2-3961-4B47-A081-03D55D111548}" name="仕入金額" totalsRowFunction="sum" dataDxfId="610" totalsRowDxfId="611" dataCellStyle="桁区切り" totalsRowCellStyle="桁区切り">
      <calculatedColumnFormula>D2*E2</calculatedColumnFormula>
    </tableColumn>
    <tableColumn id="7" xr3:uid="{8692C2FF-4F25-4593-942E-734F06AF1062}" name="支払方法" dataDxfId="608" totalsRowDxfId="609" dataCellStyle="桁区切り" totalsRowCellStyle="桁区切り"/>
    <tableColumn id="8" xr3:uid="{F657AD3E-310E-4461-82EA-FCBF4094C3C6}" name="支払金額" totalsRowFunction="sum" dataDxfId="606" totalsRowDxfId="607" dataCellStyle="桁区切り" totalsRowCellStyle="桁区切り"/>
    <tableColumn id="9" xr3:uid="{A41E8968-883A-4E27-8902-781C4BAECF1A}" name="差引残高" totalsRowFunction="custom" dataDxfId="604" totalsRowDxfId="605" dataCellStyle="桁区切り" totalsRowCellStyle="桁区切り">
      <calculatedColumnFormula>I1+F2-H2</calculatedColumnFormula>
      <totalsRowFormula>テーブル131213141516171819202122232427282930[[#Totals],[仕入金額]]-テーブル131213141516171819202122232427282930[[#Totals],[支払金額]]</totalsRowFormula>
    </tableColumn>
    <tableColumn id="10" xr3:uid="{0D7F868E-F1C6-4AD2-BD0E-B1084742535E}" name="ソフト入力" dataDxfId="602" totalsRowDxfId="603" dataCellStyle="桁区切り" totalsRowCellStyle="桁区切り"/>
    <tableColumn id="11" xr3:uid="{FE1417C0-1A54-48FC-9959-8F7CBDA49FA2}" name="裕子" totalsRowFunction="count" dataDxfId="600" totalsRowDxfId="601" dataCellStyle="桁区切り" totalsRowCellStyle="桁区切り"/>
  </tableColumns>
  <tableStyleInfo name="TableStyleLight18" showFirstColumn="0" showLastColumn="0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CC95C72-9596-459A-9384-B3017A2F50B8}" name="テーブル13121314151617181920212223242728293031" displayName="テーブル13121314151617181920212223242728293031" ref="A1:K48" totalsRowCount="1" headerRowDxfId="599" headerRowBorderDxfId="597" tableBorderDxfId="598">
  <autoFilter ref="A1:K47" xr:uid="{84424A3F-6FAF-439F-9300-F3D82AE30E20}"/>
  <tableColumns count="11">
    <tableColumn id="1" xr3:uid="{AA1DE5E3-DE35-49F9-AB5C-35942B1BF5E4}" name="日付" totalsRowLabel="集計" dataDxfId="595" totalsRowDxfId="596"/>
    <tableColumn id="2" xr3:uid="{C741A0FB-DAB8-47A4-84F0-EFDE5FE426AC}" name="現場名" dataDxfId="593" totalsRowDxfId="594"/>
    <tableColumn id="3" xr3:uid="{DCA7675E-2F7F-4462-A75E-ECEF523142D2}" name="品名" dataDxfId="591" totalsRowDxfId="592"/>
    <tableColumn id="4" xr3:uid="{67ED16A7-71F3-4D8D-8BE9-986523535891}" name="数量" dataDxfId="589" totalsRowDxfId="590"/>
    <tableColumn id="5" xr3:uid="{796DB0D7-1E72-4F59-969A-06CF734BD8C3}" name="単価" dataDxfId="587" totalsRowDxfId="588" dataCellStyle="桁区切り"/>
    <tableColumn id="6" xr3:uid="{DCBEDAED-5DAA-49AF-B1CF-59F329FC1F7B}" name="仕入金額" totalsRowFunction="sum" dataDxfId="585" totalsRowDxfId="586" dataCellStyle="桁区切り">
      <calculatedColumnFormula>D2*E2</calculatedColumnFormula>
    </tableColumn>
    <tableColumn id="7" xr3:uid="{004090BD-536D-4D85-A5A2-1E7830B12BFA}" name="支払方法" dataDxfId="583" totalsRowDxfId="584" dataCellStyle="桁区切り"/>
    <tableColumn id="8" xr3:uid="{6B2D4B0D-F25C-41B6-9E8A-29502D575C12}" name="支払金額" totalsRowFunction="sum" dataDxfId="581" totalsRowDxfId="582" dataCellStyle="桁区切り"/>
    <tableColumn id="9" xr3:uid="{A69D9F6A-9FB7-4453-9C5E-69FD1A8DDF97}" name="差引残高" totalsRowFunction="custom" dataDxfId="579" totalsRowDxfId="580" dataCellStyle="桁区切り">
      <calculatedColumnFormula>I1+F2-H2</calculatedColumnFormula>
      <totalsRowFormula>テーブル13121314151617181920212223242728293031[[#Totals],[仕入金額]]-テーブル13121314151617181920212223242728293031[[#Totals],[支払金額]]</totalsRowFormula>
    </tableColumn>
    <tableColumn id="10" xr3:uid="{5CD40FE0-9D88-4E8E-8BAE-950C5F7CF26A}" name="ソフト入力" dataDxfId="577" totalsRowDxfId="578" dataCellStyle="桁区切り"/>
    <tableColumn id="11" xr3:uid="{0AD11D2D-4ADE-4CEE-AB70-4FA0559C6CFA}" name="裕子" totalsRowFunction="count" dataDxfId="575" totalsRowDxfId="576" dataCellStyle="桁区切り"/>
  </tableColumns>
  <tableStyleInfo name="TableStyleLight18" showFirstColumn="0" showLastColumn="0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DD1F1FD-B0AE-4D14-B610-B6C2645C8FE7}" name="テーブル1312131415161718192021222324272829303132" displayName="テーブル1312131415161718192021222324272829303132" ref="A1:K48" totalsRowCount="1" headerRowDxfId="574" headerRowBorderDxfId="572" tableBorderDxfId="573">
  <autoFilter ref="A1:K47" xr:uid="{84424A3F-6FAF-439F-9300-F3D82AE30E20}"/>
  <tableColumns count="11">
    <tableColumn id="1" xr3:uid="{F0A9B62B-8FD0-4C4F-B7FD-76CA1D6381CB}" name="日付" totalsRowLabel="集計" dataDxfId="570" totalsRowDxfId="571"/>
    <tableColumn id="2" xr3:uid="{E5FE98CA-252F-4935-87DE-0E3691DA86C0}" name="現場名" dataDxfId="568" totalsRowDxfId="569"/>
    <tableColumn id="3" xr3:uid="{D684A848-8A37-404F-A436-F7C814A3196B}" name="品名" dataDxfId="566" totalsRowDxfId="567"/>
    <tableColumn id="4" xr3:uid="{652D0CC2-5D01-4882-AB0A-61FF92052702}" name="数量" dataDxfId="564" totalsRowDxfId="565"/>
    <tableColumn id="5" xr3:uid="{31A76461-21E0-4025-A8B8-39D8EA070CF5}" name="単価" dataDxfId="562" totalsRowDxfId="563" dataCellStyle="桁区切り"/>
    <tableColumn id="6" xr3:uid="{D4C68630-6212-47B1-99F4-B44BA2D8E826}" name="仕入金額" totalsRowFunction="sum" dataDxfId="560" totalsRowDxfId="561" dataCellStyle="桁区切り">
      <calculatedColumnFormula>D2*E2</calculatedColumnFormula>
    </tableColumn>
    <tableColumn id="7" xr3:uid="{F95FCD57-9795-42CE-9B91-14FFD0904935}" name="支払方法" dataDxfId="558" totalsRowDxfId="559" dataCellStyle="桁区切り"/>
    <tableColumn id="8" xr3:uid="{FB09690D-3400-440E-A0AC-03E664E53398}" name="支払金額" totalsRowFunction="sum" dataDxfId="556" totalsRowDxfId="557" dataCellStyle="桁区切り"/>
    <tableColumn id="9" xr3:uid="{52AC9DB5-5FE7-4CE5-855A-B857CF04AB44}" name="差引残高" totalsRowFunction="custom" dataDxfId="554" totalsRowDxfId="555" dataCellStyle="桁区切り">
      <calculatedColumnFormula>I1+F2-H2</calculatedColumnFormula>
      <totalsRowFormula>テーブル1312131415161718192021222324272829303132[[#Totals],[仕入金額]]-テーブル1312131415161718192021222324272829303132[[#Totals],[支払金額]]</totalsRowFormula>
    </tableColumn>
    <tableColumn id="10" xr3:uid="{71ADEE46-BB23-458A-A889-EF5DED9E97FE}" name="ソフト入力" dataDxfId="552" totalsRowDxfId="553" dataCellStyle="桁区切り"/>
    <tableColumn id="11" xr3:uid="{C6065F40-DF78-405E-A962-0FC063FA98C3}" name="裕子" dataDxfId="550" totalsRowDxfId="551"/>
  </tableColumns>
  <tableStyleInfo name="TableStyleLight18" showFirstColumn="0" showLastColumn="0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42751FEF-C043-45B6-8560-67261B414FC4}" name="テーブル131213141516171819202122232427282930313233" displayName="テーブル131213141516171819202122232427282930313233" ref="A1:K48" totalsRowCount="1" headerRowDxfId="549" headerRowBorderDxfId="547" tableBorderDxfId="548">
  <autoFilter ref="A1:K47" xr:uid="{84424A3F-6FAF-439F-9300-F3D82AE30E20}"/>
  <tableColumns count="11">
    <tableColumn id="1" xr3:uid="{1AEA5E98-0DD6-4021-9F03-6239CF95D7C8}" name="日付" totalsRowLabel="集計" dataDxfId="545" totalsRowDxfId="546"/>
    <tableColumn id="2" xr3:uid="{C1EC5B7A-DCB0-4F4E-B7DE-A815C7FEE3E8}" name="現場名" dataDxfId="543" totalsRowDxfId="544"/>
    <tableColumn id="3" xr3:uid="{6C8D8D74-7DFC-4332-A9AC-76251D6152AB}" name="品名" dataDxfId="541" totalsRowDxfId="542"/>
    <tableColumn id="4" xr3:uid="{A9757ED7-BC67-4BDA-9958-2D7F19A6699F}" name="数量" dataDxfId="539" totalsRowDxfId="540"/>
    <tableColumn id="5" xr3:uid="{032F1BEB-15A9-4B45-964E-749034321383}" name="単価" dataDxfId="537" totalsRowDxfId="538" dataCellStyle="桁区切り" totalsRowCellStyle="桁区切り"/>
    <tableColumn id="6" xr3:uid="{9B8173D5-67F3-4F06-B520-CB489A7BBD5A}" name="仕入金額" totalsRowFunction="sum" dataDxfId="535" totalsRowDxfId="536" dataCellStyle="桁区切り" totalsRowCellStyle="桁区切り">
      <calculatedColumnFormula>D2*E2</calculatedColumnFormula>
    </tableColumn>
    <tableColumn id="7" xr3:uid="{8119CA50-B921-4C41-97FD-1526C7E6F128}" name="支払方法" dataDxfId="533" totalsRowDxfId="534" dataCellStyle="桁区切り" totalsRowCellStyle="桁区切り"/>
    <tableColumn id="8" xr3:uid="{97977F99-6EEC-4FF6-B3B6-4DDE2AFDC0FB}" name="支払金額" totalsRowFunction="sum" dataDxfId="531" totalsRowDxfId="532" dataCellStyle="桁区切り" totalsRowCellStyle="桁区切り"/>
    <tableColumn id="9" xr3:uid="{CC0DBED6-A07B-4FD5-BD50-5D1CA9E42472}" name="差引残高" totalsRowFunction="custom" dataDxfId="529" totalsRowDxfId="530" dataCellStyle="桁区切り" totalsRowCellStyle="桁区切り">
      <calculatedColumnFormula>I1+F2-H2</calculatedColumnFormula>
      <totalsRowFormula>テーブル131213141516171819202122232427282930313233[[#Totals],[仕入金額]]-テーブル131213141516171819202122232427282930313233[[#Totals],[支払金額]]</totalsRowFormula>
    </tableColumn>
    <tableColumn id="10" xr3:uid="{BAD919FB-2B32-4DC0-8A87-0B4588E6ADF4}" name="ソフト入力" dataDxfId="527" totalsRowDxfId="528" dataCellStyle="桁区切り" totalsRowCellStyle="桁区切り"/>
    <tableColumn id="11" xr3:uid="{5EFFEDCF-4A03-4E1B-82A6-B0A177A72633}" name="裕子" dataDxfId="525" totalsRowDxfId="526" dataCellStyle="桁区切り" totalsRowCellStyle="桁区切り"/>
  </tableColumns>
  <tableStyleInfo name="TableStyleLight18" showFirstColumn="0" showLastColumn="0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C74889F-E2AF-4042-A807-2369A1C9DE7E}" name="テーブル13121314151617181920212223242728293031323334" displayName="テーブル13121314151617181920212223242728293031323334" ref="A1:K48" totalsRowCount="1" headerRowDxfId="524" headerRowBorderDxfId="522" tableBorderDxfId="523">
  <autoFilter ref="A1:K47" xr:uid="{84424A3F-6FAF-439F-9300-F3D82AE30E20}"/>
  <tableColumns count="11">
    <tableColumn id="1" xr3:uid="{197F2E1A-0882-4452-9427-BA39A7FE768B}" name="日付" totalsRowLabel="集計" dataDxfId="520" totalsRowDxfId="521"/>
    <tableColumn id="2" xr3:uid="{2F5FE890-E5EA-4B13-AC7B-5590FAA7D73F}" name="現場名" dataDxfId="518" totalsRowDxfId="519"/>
    <tableColumn id="3" xr3:uid="{A2833D10-F46E-4171-8901-E22D32104198}" name="品名" dataDxfId="516" totalsRowDxfId="517"/>
    <tableColumn id="4" xr3:uid="{25A723A2-9D8C-4460-9880-FF7655144269}" name="数量" dataDxfId="514" totalsRowDxfId="515"/>
    <tableColumn id="5" xr3:uid="{4C45CD4F-7409-404E-86EA-39244161A2E3}" name="単価" dataDxfId="512" totalsRowDxfId="513" dataCellStyle="桁区切り" totalsRowCellStyle="桁区切り"/>
    <tableColumn id="6" xr3:uid="{F12574AE-0F74-4EC8-B5FE-BC0A1089FE45}" name="仕入金額" totalsRowFunction="sum" dataDxfId="510" totalsRowDxfId="511" dataCellStyle="桁区切り" totalsRowCellStyle="桁区切り">
      <calculatedColumnFormula>D2*E2</calculatedColumnFormula>
    </tableColumn>
    <tableColumn id="7" xr3:uid="{BDBA31A7-B39C-493D-9ECA-807805D7D0FB}" name="支払方法" dataDxfId="508" totalsRowDxfId="509" dataCellStyle="桁区切り" totalsRowCellStyle="桁区切り"/>
    <tableColumn id="8" xr3:uid="{1631A626-9E83-4607-84D6-454592470AF4}" name="支払金額" totalsRowFunction="sum" dataDxfId="506" totalsRowDxfId="507" dataCellStyle="桁区切り" totalsRowCellStyle="桁区切り"/>
    <tableColumn id="9" xr3:uid="{67A435CD-D551-465E-A3B6-6540F26B557E}" name="差引残高" totalsRowFunction="custom" dataDxfId="504" totalsRowDxfId="505" dataCellStyle="桁区切り" totalsRowCellStyle="桁区切り">
      <calculatedColumnFormula>I1+F2-H2</calculatedColumnFormula>
      <totalsRowFormula>テーブル13121314151617181920212223242728293031323334[[#Totals],[仕入金額]]-テーブル13121314151617181920212223242728293031323334[[#Totals],[支払金額]]</totalsRowFormula>
    </tableColumn>
    <tableColumn id="10" xr3:uid="{08752E6E-DB5B-4BF4-BEF7-B1E8C04BA0BE}" name="ソフト入力" dataDxfId="502" totalsRowDxfId="503" dataCellStyle="桁区切り" totalsRowCellStyle="桁区切り"/>
    <tableColumn id="11" xr3:uid="{D43858BE-9BCA-4928-9433-C7EEEB81051F}" name="裕子" totalsRowFunction="count" dataDxfId="500" totalsRowDxfId="501" dataCellStyle="桁区切り" totalsRowCellStyle="桁区切り"/>
  </tableColumns>
  <tableStyleInfo name="TableStyleLight18" showFirstColumn="0" showLastColumn="0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68FC0108-28FA-4C4D-9C60-697816EBCE2E}" name="テーブル1312131415161718192021222324272829303132333435" displayName="テーブル1312131415161718192021222324272829303132333435" ref="A1:K48" totalsRowCount="1" headerRowDxfId="499" headerRowBorderDxfId="497" tableBorderDxfId="498">
  <autoFilter ref="A1:K47" xr:uid="{84424A3F-6FAF-439F-9300-F3D82AE30E20}"/>
  <tableColumns count="11">
    <tableColumn id="1" xr3:uid="{94ECABFA-094C-4813-B381-8C9DE5835CB4}" name="日付" totalsRowLabel="集計" dataDxfId="495" totalsRowDxfId="496"/>
    <tableColumn id="2" xr3:uid="{0473CB43-707E-4907-91C7-25ACA4448B0E}" name="現場名" dataDxfId="493" totalsRowDxfId="494"/>
    <tableColumn id="3" xr3:uid="{9FA443ED-92F5-4F1C-8D71-E417E71F963C}" name="品名" dataDxfId="491" totalsRowDxfId="492"/>
    <tableColumn id="4" xr3:uid="{B097344A-9DB3-46AA-ACBC-74CDB69FBC5A}" name="数量" dataDxfId="489" totalsRowDxfId="490"/>
    <tableColumn id="5" xr3:uid="{1A9B8425-CE81-46D2-9D88-844865A34605}" name="単価" dataDxfId="487" totalsRowDxfId="488" dataCellStyle="桁区切り" totalsRowCellStyle="桁区切り"/>
    <tableColumn id="6" xr3:uid="{103401A3-9339-4801-A7DF-BCD1CAA1EE64}" name="仕入金額" totalsRowFunction="sum" dataDxfId="485" totalsRowDxfId="486" dataCellStyle="桁区切り" totalsRowCellStyle="桁区切り">
      <calculatedColumnFormula>D2*E2</calculatedColumnFormula>
    </tableColumn>
    <tableColumn id="7" xr3:uid="{B628BB15-6E8A-4C05-A332-3145BB23367F}" name="支払方法" dataDxfId="483" totalsRowDxfId="484" dataCellStyle="桁区切り" totalsRowCellStyle="桁区切り"/>
    <tableColumn id="8" xr3:uid="{00213AA9-59DB-4298-A941-4FC0EF0A1D1F}" name="支払金額" totalsRowFunction="sum" dataDxfId="481" totalsRowDxfId="482" dataCellStyle="桁区切り" totalsRowCellStyle="桁区切り"/>
    <tableColumn id="9" xr3:uid="{F4201ACD-EE96-4D55-BD68-0338114882C5}" name="差引残高" totalsRowFunction="custom" dataDxfId="479" totalsRowDxfId="480" dataCellStyle="桁区切り" totalsRowCellStyle="桁区切り">
      <calculatedColumnFormula>I1+F2-H2</calculatedColumnFormula>
      <totalsRowFormula>テーブル1312131415161718192021222324272829303132333435[[#Totals],[仕入金額]]-テーブル1312131415161718192021222324272829303132333435[[#Totals],[支払金額]]</totalsRowFormula>
    </tableColumn>
    <tableColumn id="10" xr3:uid="{D0C00D68-4703-491E-A6A4-6C8839368F4D}" name="ソフト入力" dataDxfId="477" totalsRowDxfId="478" dataCellStyle="桁区切り" totalsRowCellStyle="桁区切り"/>
    <tableColumn id="11" xr3:uid="{A0ED58E0-72C4-46A1-BCFB-2E8F86F895F1}" name="裕子" totalsRowFunction="count" dataDxfId="475" totalsRowDxfId="476" dataCellStyle="桁区切り" totalsRowCellStyle="桁区切り"/>
  </tableColumns>
  <tableStyleInfo name="TableStyleLight18" showFirstColumn="0" showLastColumn="0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99DDB40-104C-41D8-8992-F6796207A4AD}" name="テーブル131213141516171819202122232427282930313233343536" displayName="テーブル131213141516171819202122232427282930313233343536" ref="A1:K48" totalsRowCount="1" headerRowDxfId="474" headerRowBorderDxfId="472" tableBorderDxfId="473">
  <autoFilter ref="A1:K47" xr:uid="{84424A3F-6FAF-439F-9300-F3D82AE30E20}"/>
  <tableColumns count="11">
    <tableColumn id="1" xr3:uid="{DADA16A6-DBB8-41CA-BDAF-123C67690E17}" name="日付" totalsRowLabel="集計" dataDxfId="470" totalsRowDxfId="471"/>
    <tableColumn id="2" xr3:uid="{E7C8282A-5FDE-4FDA-AC63-4B84F542BD18}" name="現場名" dataDxfId="468" totalsRowDxfId="469"/>
    <tableColumn id="3" xr3:uid="{51045CFD-69DE-44D3-9F28-74981E8A1EA0}" name="品名" dataDxfId="466" totalsRowDxfId="467"/>
    <tableColumn id="4" xr3:uid="{9F3CCC5C-2B90-4C53-8F9E-05D80F1B231E}" name="数量" dataDxfId="464" totalsRowDxfId="465"/>
    <tableColumn id="5" xr3:uid="{B3B32DFC-71D1-4AC8-929E-3CFFEB05EAFF}" name="単価" dataDxfId="462" totalsRowDxfId="463" dataCellStyle="桁区切り" totalsRowCellStyle="桁区切り"/>
    <tableColumn id="6" xr3:uid="{1D511DF5-3935-4F8E-9E09-1E71BC13B4F6}" name="仕入金額" totalsRowFunction="sum" dataDxfId="460" totalsRowDxfId="461" dataCellStyle="桁区切り" totalsRowCellStyle="桁区切り">
      <calculatedColumnFormula>D2*E2</calculatedColumnFormula>
    </tableColumn>
    <tableColumn id="7" xr3:uid="{6642F89D-C69A-47A7-A67A-07BEA634CAF7}" name="支払方法" dataDxfId="458" totalsRowDxfId="459" dataCellStyle="桁区切り" totalsRowCellStyle="桁区切り"/>
    <tableColumn id="8" xr3:uid="{B2AA4883-7C85-4B12-8478-640AAA9AEC41}" name="支払金額" totalsRowFunction="sum" dataDxfId="456" totalsRowDxfId="457" dataCellStyle="桁区切り" totalsRowCellStyle="桁区切り"/>
    <tableColumn id="9" xr3:uid="{4AE1296D-CE9A-4166-925F-D74EEAF474CA}" name="差引残高" totalsRowFunction="custom" dataDxfId="454" totalsRowDxfId="455" dataCellStyle="桁区切り" totalsRowCellStyle="桁区切り">
      <calculatedColumnFormula>I1+F2-H2</calculatedColumnFormula>
      <totalsRowFormula>テーブル131213141516171819202122232427282930313233343536[[#Totals],[仕入金額]]-テーブル131213141516171819202122232427282930313233343536[[#Totals],[支払金額]]</totalsRowFormula>
    </tableColumn>
    <tableColumn id="10" xr3:uid="{B1B43457-96A4-484D-B3B4-299D75836E0A}" name="ソフト入力" dataDxfId="452" totalsRowDxfId="453" dataCellStyle="桁区切り" totalsRowCellStyle="桁区切り"/>
    <tableColumn id="11" xr3:uid="{C83ECE03-FC21-4557-9E1E-C7D27B9A73D6}" name="裕子" totalsRowFunction="count" dataDxfId="450" totalsRowDxfId="451" dataCellStyle="桁区切り" totalsRowCellStyle="桁区切り"/>
  </tableColumns>
  <tableStyleInfo name="TableStyleLight18" showFirstColumn="0" showLastColumn="0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7ADBE7A-A37B-4368-9B3A-12078721891F}" name="テーブル13121314151617181920212223242728293031323334353637" displayName="テーブル13121314151617181920212223242728293031323334353637" ref="A1:K48" totalsRowCount="1" headerRowDxfId="449" headerRowBorderDxfId="447" tableBorderDxfId="448">
  <autoFilter ref="A1:K47" xr:uid="{84424A3F-6FAF-439F-9300-F3D82AE30E20}"/>
  <tableColumns count="11">
    <tableColumn id="1" xr3:uid="{CA7B2643-E4E2-4555-B840-01923CDE96F3}" name="日付" totalsRowLabel="集計" dataDxfId="445" totalsRowDxfId="446"/>
    <tableColumn id="2" xr3:uid="{54A1EFBA-40D0-4DAA-86D8-7411E0090B72}" name="現場名" dataDxfId="443" totalsRowDxfId="444"/>
    <tableColumn id="3" xr3:uid="{1B4E9AD9-C527-4DFD-B91F-DC7B945616FB}" name="品名" dataDxfId="441" totalsRowDxfId="442"/>
    <tableColumn id="4" xr3:uid="{4FE89DA0-8A2C-4508-97BB-1A2B46794450}" name="数量" dataDxfId="439" totalsRowDxfId="440"/>
    <tableColumn id="5" xr3:uid="{216C36D7-ACB6-4DF5-99FC-3F3774EA0745}" name="単価" dataDxfId="437" totalsRowDxfId="438" dataCellStyle="桁区切り"/>
    <tableColumn id="6" xr3:uid="{E7682950-371B-47CE-982B-F78E0E6120D9}" name="仕入金額" totalsRowFunction="sum" dataDxfId="435" totalsRowDxfId="436" dataCellStyle="桁区切り">
      <calculatedColumnFormula>D2*E2</calculatedColumnFormula>
    </tableColumn>
    <tableColumn id="7" xr3:uid="{093F6F69-6E4A-42BB-810D-6233981A9D6B}" name="支払方法" dataDxfId="433" totalsRowDxfId="434" dataCellStyle="桁区切り"/>
    <tableColumn id="8" xr3:uid="{6D9A453E-E0A4-4414-8D2E-39128D298B88}" name="支払金額" totalsRowFunction="sum" dataDxfId="431" totalsRowDxfId="432" dataCellStyle="桁区切り"/>
    <tableColumn id="9" xr3:uid="{D0863D43-90E0-4993-8D10-FC32D872D0BA}" name="差引残高" totalsRowFunction="custom" dataDxfId="429" totalsRowDxfId="430" dataCellStyle="桁区切り">
      <calculatedColumnFormula>I1+F2-H2</calculatedColumnFormula>
      <totalsRowFormula>テーブル13121314151617181920212223242728293031323334353637[[#Totals],[仕入金額]]-テーブル13121314151617181920212223242728293031323334353637[[#Totals],[支払金額]]</totalsRowFormula>
    </tableColumn>
    <tableColumn id="10" xr3:uid="{6C34F7C8-09A7-4B52-9787-1A8493DC2FC0}" name="ソフト入力" dataDxfId="427" totalsRowDxfId="428" dataCellStyle="桁区切り"/>
    <tableColumn id="11" xr3:uid="{A9B5AEDA-D46A-41FD-BA8A-A4A8707D90FF}" name="裕子" totalsRowFunction="count" dataDxfId="425" totalsRowDxfId="426" dataCellStyle="桁区切り"/>
  </tableColumns>
  <tableStyleInfo name="TableStyleLight18" showFirstColumn="0" showLastColumn="0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F24549D-FEAC-47B0-812D-0E33B74DDEE6}" name="テーブル1312131415161718192021222324272829303132333435363738" displayName="テーブル1312131415161718192021222324272829303132333435363738" ref="A1:K48" totalsRowCount="1" headerRowDxfId="424" headerRowBorderDxfId="422" tableBorderDxfId="423">
  <autoFilter ref="A1:K47" xr:uid="{84424A3F-6FAF-439F-9300-F3D82AE30E20}"/>
  <tableColumns count="11">
    <tableColumn id="1" xr3:uid="{3C2CD468-F144-4F44-8EF1-98EBFAD260B3}" name="日付" totalsRowLabel="集計" dataDxfId="420" totalsRowDxfId="421"/>
    <tableColumn id="2" xr3:uid="{F7EF1C4F-CEC6-499D-98EF-4C99EF76B433}" name="現場名" dataDxfId="418" totalsRowDxfId="419"/>
    <tableColumn id="3" xr3:uid="{858AC1B5-E2C4-48D0-9EFE-377E647BB337}" name="品名" dataDxfId="416" totalsRowDxfId="417"/>
    <tableColumn id="4" xr3:uid="{6C7C7728-B08F-4B05-B9A3-DD18AEF427D8}" name="数量" dataDxfId="414" totalsRowDxfId="415"/>
    <tableColumn id="5" xr3:uid="{FCD68163-140F-4440-99B1-BC100A9DECD1}" name="単価" dataDxfId="412" totalsRowDxfId="413" dataCellStyle="桁区切り"/>
    <tableColumn id="6" xr3:uid="{8B885686-96E5-410C-A7EC-8E5D4EF2D776}" name="仕入金額" totalsRowFunction="sum" dataDxfId="410" totalsRowDxfId="411" dataCellStyle="桁区切り">
      <calculatedColumnFormula>D2*E2</calculatedColumnFormula>
    </tableColumn>
    <tableColumn id="7" xr3:uid="{8C00F7A5-1FB2-49BD-8C94-EFC1973F7D9F}" name="支払方法" dataDxfId="408" totalsRowDxfId="409" dataCellStyle="桁区切り"/>
    <tableColumn id="8" xr3:uid="{39F9179E-141A-490A-BBFF-A920E2EB14F5}" name="支払金額" totalsRowFunction="sum" dataDxfId="406" totalsRowDxfId="407" dataCellStyle="桁区切り"/>
    <tableColumn id="9" xr3:uid="{5D1C14EF-D2DA-409D-8BCE-8DA6ED514AA4}" name="差引残高" totalsRowFunction="custom" dataDxfId="404" totalsRowDxfId="405" dataCellStyle="桁区切り">
      <calculatedColumnFormula>I1+F2-H2</calculatedColumnFormula>
      <totalsRowFormula>テーブル1312131415161718192021222324272829303132333435363738[[#Totals],[仕入金額]]-テーブル1312131415161718192021222324272829303132333435363738[[#Totals],[支払金額]]</totalsRowFormula>
    </tableColumn>
    <tableColumn id="10" xr3:uid="{088E1F5C-4515-4D40-A91E-D3656CC19129}" name="ソフト入力" dataDxfId="402" totalsRowDxfId="403" dataCellStyle="桁区切り"/>
    <tableColumn id="11" xr3:uid="{751CFC68-F26B-4C39-9ABC-F5E75775615C}" name="裕子" totalsRowFunction="count" dataDxfId="400" totalsRowDxfId="401" dataCellStyle="桁区切り"/>
  </tableColumns>
  <tableStyleInfo name="TableStyleLight18" showFirstColumn="0" showLastColumn="0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5B7E4FB5-3B7E-4015-9B9A-6DE79F5DC0E0}" name="テーブル131213141516171819202122232427282930313233343536373839" displayName="テーブル131213141516171819202122232427282930313233343536373839" ref="A1:K48" totalsRowCount="1" headerRowDxfId="399" headerRowBorderDxfId="397" tableBorderDxfId="398">
  <autoFilter ref="A1:K47" xr:uid="{84424A3F-6FAF-439F-9300-F3D82AE30E20}"/>
  <tableColumns count="11">
    <tableColumn id="1" xr3:uid="{6B80C1A7-FA4A-4E80-A359-C1AB334C5475}" name="日付" totalsRowLabel="集計" dataDxfId="395" totalsRowDxfId="396"/>
    <tableColumn id="2" xr3:uid="{FB354A70-4F7D-47AA-9332-296E52DD01F9}" name="現場名" dataDxfId="393" totalsRowDxfId="394"/>
    <tableColumn id="3" xr3:uid="{272EF550-E43D-4FDD-98DC-5B192A42E0B1}" name="品名" dataDxfId="391" totalsRowDxfId="392"/>
    <tableColumn id="4" xr3:uid="{E3D57946-CB63-4BB5-B4D5-2288BEBC1526}" name="数量" dataDxfId="389" totalsRowDxfId="390"/>
    <tableColumn id="5" xr3:uid="{DF6ECA40-866B-4678-8FA1-340D722F2031}" name="単価" dataDxfId="387" totalsRowDxfId="388" dataCellStyle="桁区切り" totalsRowCellStyle="桁区切り"/>
    <tableColumn id="6" xr3:uid="{7AF7FC85-BC07-44DB-A4FA-5753D0CBF7A9}" name="仕入金額" totalsRowFunction="sum" dataDxfId="385" totalsRowDxfId="386" dataCellStyle="桁区切り" totalsRowCellStyle="桁区切り">
      <calculatedColumnFormula>D2*E2</calculatedColumnFormula>
    </tableColumn>
    <tableColumn id="7" xr3:uid="{4909D47D-E0D2-4836-9FF9-81CF8CB971E2}" name="支払方法" dataDxfId="383" totalsRowDxfId="384" dataCellStyle="桁区切り" totalsRowCellStyle="桁区切り"/>
    <tableColumn id="8" xr3:uid="{D201C43B-BACF-4E68-98F3-431FB1A259B3}" name="支払金額" totalsRowFunction="sum" dataDxfId="381" totalsRowDxfId="382" dataCellStyle="桁区切り" totalsRowCellStyle="桁区切り"/>
    <tableColumn id="9" xr3:uid="{3EA1EBE2-5358-4834-A782-A4164BF680BF}" name="差引残高" totalsRowFunction="custom" dataDxfId="379" totalsRowDxfId="380" dataCellStyle="桁区切り" totalsRowCellStyle="桁区切り">
      <calculatedColumnFormula>I1+F2-H2</calculatedColumnFormula>
      <totalsRowFormula>テーブル131213141516171819202122232427282930313233343536373839[[#Totals],[仕入金額]]-テーブル131213141516171819202122232427282930313233343536373839[[#Totals],[支払金額]]</totalsRowFormula>
    </tableColumn>
    <tableColumn id="10" xr3:uid="{B33A6F8D-1295-4456-86A8-DC5A4C53CF72}" name="ソフト入力" dataDxfId="377" totalsRowDxfId="378" dataCellStyle="桁区切り" totalsRowCellStyle="桁区切り"/>
    <tableColumn id="11" xr3:uid="{AE0E9E76-F9C1-468C-90F7-7950A3315CCC}" name="裕子" totalsRowFunction="count" dataDxfId="375" totalsRowDxfId="376" dataCellStyle="桁区切り" totalsRowCellStyle="桁区切り"/>
  </tableColumns>
  <tableStyleInfo name="TableStyleLight18" showFirstColumn="0" showLastColumn="0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8FC727-5980-4DD7-99AB-33B40F40F008}" name="テーブル13121314151617181920212223242728293031323334353637383940414243444546474849507" displayName="テーブル13121314151617181920212223242728293031323334353637383940414243444546474849507" ref="A1:L49" totalsRowCount="1" headerRowDxfId="374" headerRowBorderDxfId="372" tableBorderDxfId="373">
  <autoFilter ref="A1:L48" xr:uid="{84424A3F-6FAF-439F-9300-F3D82AE30E20}"/>
  <tableColumns count="12">
    <tableColumn id="1" xr3:uid="{0933545C-065F-4882-9E21-14F09DAFE917}" name="日付" totalsRowLabel="集計" dataDxfId="370" totalsRowDxfId="371"/>
    <tableColumn id="2" xr3:uid="{7D561B85-A80E-470D-98AC-95E5359624B3}" name="現場名" dataDxfId="368" totalsRowDxfId="369"/>
    <tableColumn id="3" xr3:uid="{E5899F0B-5A21-483D-BEFD-F04A80206266}" name="品名" dataDxfId="366" totalsRowDxfId="367"/>
    <tableColumn id="4" xr3:uid="{FA730799-B84D-47AA-A868-9BB21B37E15A}" name="数量" dataDxfId="364" totalsRowDxfId="365"/>
    <tableColumn id="5" xr3:uid="{FFFB3B05-9095-4B55-8078-67DA954C073B}" name="単価" dataDxfId="362" totalsRowDxfId="363" dataCellStyle="桁区切り"/>
    <tableColumn id="6" xr3:uid="{59393F2B-4BFA-472A-A031-3E0F6DD70D59}" name="仕入金額" totalsRowFunction="sum" dataDxfId="360" totalsRowDxfId="361">
      <calculatedColumnFormula>D2*E2</calculatedColumnFormula>
    </tableColumn>
    <tableColumn id="7" xr3:uid="{ED65AEF6-7C73-446D-87DB-3E04F2980B7B}" name="支払方法" dataDxfId="358" totalsRowDxfId="359"/>
    <tableColumn id="8" xr3:uid="{880CF9A7-E1D8-490B-9D59-3C12B12E2749}" name="支払金額" totalsRowFunction="sum" dataDxfId="356" totalsRowDxfId="357" dataCellStyle="桁区切り" totalsRowCellStyle="桁区切り"/>
    <tableColumn id="9" xr3:uid="{E3C8E7A6-1E27-4E01-AB36-DB0CC9BC829E}" name="差引残高" totalsRowFunction="custom" dataDxfId="354" totalsRowDxfId="355" dataCellStyle="桁区切り" totalsRowCellStyle="桁区切り">
      <calculatedColumnFormula>I1+F2-H2</calculatedColumnFormula>
      <totalsRowFormula>テーブル13121314151617181920212223242728293031323334353637383940414243444546474849507[[#Totals],[仕入金額]]-テーブル13121314151617181920212223242728293031323334353637383940414243444546474849507[[#Totals],[支払金額]]</totalsRowFormula>
    </tableColumn>
    <tableColumn id="10" xr3:uid="{1AE42EB9-7E8D-4593-A19F-877EDCA479B3}" name="ソフト入力" dataDxfId="352" totalsRowDxfId="353"/>
    <tableColumn id="11" xr3:uid="{E0E068D3-F947-4784-A4BB-F6D330EE3EA3}" name="裕子" dataDxfId="350" totalsRowDxfId="351"/>
    <tableColumn id="13" xr3:uid="{1D858548-1234-4538-8151-86B5CB1B9F93}" name="列2"/>
  </tableColumns>
  <tableStyleInfo name="TableStyleLight18" showFirstColumn="0" showLastColumn="0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217825B-B049-4566-BF0C-AF4A329BCD95}" name="テーブル131213141516171819202122232427282930313233343536373839404152" displayName="テーブル131213141516171819202122232427282930313233343536373839404152" ref="A1:K52" totalsRowCount="1" headerRowDxfId="349" headerRowBorderDxfId="347" tableBorderDxfId="348">
  <autoFilter ref="A1:K51" xr:uid="{84424A3F-6FAF-439F-9300-F3D82AE30E20}"/>
  <tableColumns count="11">
    <tableColumn id="1" xr3:uid="{492F13EE-A6CD-43BA-8C9E-7A6CF49BBBCE}" name="日付" totalsRowLabel="集計" dataDxfId="345" totalsRowDxfId="346"/>
    <tableColumn id="2" xr3:uid="{83F96C9D-9C8C-4A6C-A77B-BB1D0C07DF32}" name="現場名" dataDxfId="343" totalsRowDxfId="344"/>
    <tableColumn id="3" xr3:uid="{4431D512-3116-4953-961D-8B4D273C8086}" name="品名" dataDxfId="341" totalsRowDxfId="342"/>
    <tableColumn id="4" xr3:uid="{F27BEF7E-BD11-4624-AAB7-2D4C770D5457}" name="数量" dataDxfId="339" totalsRowDxfId="340"/>
    <tableColumn id="5" xr3:uid="{32A7F2F2-A7A8-4F2F-8A26-F33D0B29675C}" name="単価" dataDxfId="337" totalsRowDxfId="338" dataCellStyle="桁区切り" totalsRowCellStyle="桁区切り"/>
    <tableColumn id="6" xr3:uid="{1F39230C-712C-4681-92DA-8376B9209B77}" name="仕入金額" totalsRowFunction="sum" dataDxfId="335" totalsRowDxfId="336" dataCellStyle="桁区切り" totalsRowCellStyle="桁区切り">
      <calculatedColumnFormula>D2*E2</calculatedColumnFormula>
    </tableColumn>
    <tableColumn id="7" xr3:uid="{D51C2887-25C4-497B-934F-A603EC02337E}" name="支払方法" dataDxfId="333" totalsRowDxfId="334" dataCellStyle="桁区切り" totalsRowCellStyle="桁区切り"/>
    <tableColumn id="8" xr3:uid="{F36BB8A3-C41A-414F-9956-D479293C5716}" name="支払金額" totalsRowFunction="sum" dataDxfId="331" totalsRowDxfId="332" dataCellStyle="桁区切り" totalsRowCellStyle="桁区切り"/>
    <tableColumn id="9" xr3:uid="{08333994-800F-44A6-AA8F-6947463CAAC0}" name="差引残高" totalsRowFunction="custom" dataDxfId="329" totalsRowDxfId="330" dataCellStyle="桁区切り" totalsRowCellStyle="桁区切り">
      <calculatedColumnFormula>I1+F2-H2</calculatedColumnFormula>
      <totalsRowFormula>テーブル131213141516171819202122232427282930313233343536373839404152[[#Totals],[仕入金額]]-テーブル131213141516171819202122232427282930313233343536373839404152[[#Totals],[支払金額]]</totalsRowFormula>
    </tableColumn>
    <tableColumn id="10" xr3:uid="{3051E74C-357B-4FF7-8577-A1FCA8E1D008}" name="ソフト入力" dataDxfId="327" totalsRowDxfId="328" dataCellStyle="桁区切り" totalsRowCellStyle="桁区切り"/>
    <tableColumn id="11" xr3:uid="{35F83586-7BC3-4DED-9187-04074DF82CD5}" name="裕子" totalsRowFunction="count" dataDxfId="325" totalsRowDxfId="326" dataCellStyle="桁区切り" totalsRowCellStyle="桁区切り"/>
  </tableColumns>
  <tableStyleInfo name="TableStyleLight18" showFirstColumn="0" showLastColumn="0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F4848207-5252-4E9D-A0F6-DBB58C9640E5}" name="テーブル1312131415161718192021222324272829303132333435363738394041" displayName="テーブル1312131415161718192021222324272829303132333435363738394041" ref="A1:K52" totalsRowCount="1" headerRowDxfId="324" headerRowBorderDxfId="322" tableBorderDxfId="323">
  <autoFilter ref="A1:K51" xr:uid="{84424A3F-6FAF-439F-9300-F3D82AE30E20}"/>
  <tableColumns count="11">
    <tableColumn id="1" xr3:uid="{3FF2E1BE-CDA0-4981-8CC2-874992E18301}" name="日付" totalsRowLabel="集計" dataDxfId="320" totalsRowDxfId="321"/>
    <tableColumn id="2" xr3:uid="{6D190D51-F55D-4557-A260-AA4FA96F44A5}" name="現場名" dataDxfId="318" totalsRowDxfId="319"/>
    <tableColumn id="3" xr3:uid="{DB5621A1-B871-406D-83F9-3E2921B6F3CD}" name="品名" dataDxfId="316" totalsRowDxfId="317"/>
    <tableColumn id="4" xr3:uid="{16F540C0-5BD1-438F-BEED-F175CB649DDA}" name="数量" dataDxfId="314" totalsRowDxfId="315"/>
    <tableColumn id="5" xr3:uid="{45206142-5B4C-4BD7-8602-B07E48336CB5}" name="単価" dataDxfId="312" totalsRowDxfId="313" dataCellStyle="桁区切り" totalsRowCellStyle="桁区切り"/>
    <tableColumn id="6" xr3:uid="{69A0C665-FFCE-4DA7-9BDB-8F812F080FC0}" name="仕入金額" totalsRowFunction="sum" dataDxfId="310" totalsRowDxfId="311" dataCellStyle="桁区切り" totalsRowCellStyle="桁区切り">
      <calculatedColumnFormula>D2*E2</calculatedColumnFormula>
    </tableColumn>
    <tableColumn id="7" xr3:uid="{954D3C1D-AE66-4AA0-92BD-A9972D412F31}" name="支払方法" dataDxfId="308" totalsRowDxfId="309" dataCellStyle="桁区切り" totalsRowCellStyle="桁区切り"/>
    <tableColumn id="8" xr3:uid="{E6CC8445-ED41-49A6-A186-38E7C62D5D90}" name="支払金額" totalsRowFunction="sum" dataDxfId="306" totalsRowDxfId="307" dataCellStyle="桁区切り" totalsRowCellStyle="桁区切り"/>
    <tableColumn id="9" xr3:uid="{F16813EF-CF58-4201-A601-366ADE86DAEA}" name="差引残高" totalsRowFunction="custom" dataDxfId="304" totalsRowDxfId="305" dataCellStyle="桁区切り" totalsRowCellStyle="桁区切り">
      <calculatedColumnFormula>I1+F2-H2</calculatedColumnFormula>
      <totalsRowFormula>テーブル1312131415161718192021222324272829303132333435363738394041[[#Totals],[仕入金額]]-テーブル1312131415161718192021222324272829303132333435363738394041[[#Totals],[支払金額]]</totalsRowFormula>
    </tableColumn>
    <tableColumn id="10" xr3:uid="{3F5FD4E0-3F68-4D72-8964-5B38326E5D14}" name="ソフト入力" dataDxfId="302" totalsRowDxfId="303" dataCellStyle="桁区切り" totalsRowCellStyle="桁区切り"/>
    <tableColumn id="11" xr3:uid="{650581C2-74BF-463C-B2B4-14CF7C0F643E}" name="裕子" totalsRowFunction="count" dataDxfId="300" totalsRowDxfId="301" dataCellStyle="桁区切り" totalsRowCellStyle="桁区切り"/>
  </tableColumns>
  <tableStyleInfo name="TableStyleLight18" showFirstColumn="0" showLastColumn="0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6D3BD8E2-6BC0-49DE-8B42-12CC6F46FA85}" name="テーブル1312131415161718192021222324272829303132333435363738394053" displayName="テーブル1312131415161718192021222324272829303132333435363738394053" ref="A1:K48" totalsRowCount="1" headerRowDxfId="299" headerRowBorderDxfId="297" tableBorderDxfId="298">
  <autoFilter ref="A1:K47" xr:uid="{84424A3F-6FAF-439F-9300-F3D82AE30E20}"/>
  <tableColumns count="11">
    <tableColumn id="1" xr3:uid="{EA5E54BE-3132-47CC-A064-683535150266}" name="日付" totalsRowLabel="集計" dataDxfId="295" totalsRowDxfId="296"/>
    <tableColumn id="2" xr3:uid="{0B81BB2C-94EB-4527-A890-0988B2BC1B8D}" name="現場名" dataDxfId="293" totalsRowDxfId="294"/>
    <tableColumn id="3" xr3:uid="{B7736EBC-A32D-4E41-84B5-257842902139}" name="品名" dataDxfId="291" totalsRowDxfId="292"/>
    <tableColumn id="4" xr3:uid="{D6EFB70B-ED2D-45E3-B5F4-ADE9ACFEADA7}" name="数量" dataDxfId="289" totalsRowDxfId="290"/>
    <tableColumn id="5" xr3:uid="{07888AD5-4D2E-4396-91AB-992DFC4F7595}" name="単価" dataDxfId="287" totalsRowDxfId="288" dataCellStyle="桁区切り"/>
    <tableColumn id="6" xr3:uid="{E416F81E-BA48-44C6-B2F7-19A60078A484}" name="仕入金額" totalsRowFunction="sum" dataDxfId="285" totalsRowDxfId="286" dataCellStyle="桁区切り">
      <calculatedColumnFormula>D2*E2</calculatedColumnFormula>
    </tableColumn>
    <tableColumn id="7" xr3:uid="{417977E8-0115-40F6-9933-6A5CC2BD998C}" name="支払方法" dataDxfId="283" totalsRowDxfId="284" dataCellStyle="桁区切り"/>
    <tableColumn id="8" xr3:uid="{09F4BDBA-3E7A-483F-9F32-798647EEC763}" name="支払金額" totalsRowFunction="sum" dataDxfId="281" totalsRowDxfId="282" dataCellStyle="桁区切り"/>
    <tableColumn id="9" xr3:uid="{31BC8532-CAF6-42EB-9231-56E57D948DF8}" name="差引残高" totalsRowFunction="custom" dataDxfId="279" totalsRowDxfId="280" dataCellStyle="桁区切り">
      <calculatedColumnFormula>I1+F2-H2</calculatedColumnFormula>
      <totalsRowFormula>テーブル1312131415161718192021222324272829303132333435363738394053[[#Totals],[仕入金額]]-テーブル1312131415161718192021222324272829303132333435363738394053[[#Totals],[支払金額]]</totalsRowFormula>
    </tableColumn>
    <tableColumn id="10" xr3:uid="{A22C53FF-D089-47BE-9715-E239B34750D2}" name="ソフト入力" dataDxfId="277" totalsRowDxfId="278" dataCellStyle="桁区切り"/>
    <tableColumn id="11" xr3:uid="{6AB9D075-E426-4874-9CF4-F7C46173E894}" name="裕子" dataDxfId="275" totalsRowDxfId="276" dataCellStyle="桁区切り"/>
  </tableColumns>
  <tableStyleInfo name="TableStyleLight18" showFirstColumn="0" showLastColumn="0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7B25E23-9C11-45E1-8981-2F996BD34D76}" name="テーブル13121314151617181920212223242728293031323334353637383940" displayName="テーブル13121314151617181920212223242728293031323334353637383940" ref="A1:K48" totalsRowCount="1" headerRowDxfId="274" headerRowBorderDxfId="272" tableBorderDxfId="273">
  <autoFilter ref="A1:K47" xr:uid="{84424A3F-6FAF-439F-9300-F3D82AE30E20}"/>
  <tableColumns count="11">
    <tableColumn id="1" xr3:uid="{06326E8B-1AA2-41CA-ADFD-2AB05E2609D0}" name="日付" totalsRowLabel="集計" dataDxfId="270" totalsRowDxfId="271"/>
    <tableColumn id="2" xr3:uid="{0AEB67B2-245C-4C6A-A9E0-69704662C64A}" name="現場名" dataDxfId="268" totalsRowDxfId="269"/>
    <tableColumn id="3" xr3:uid="{A28CBEB9-09CE-45E7-AC48-B31AC6E426DC}" name="品名" dataDxfId="266" totalsRowDxfId="267"/>
    <tableColumn id="4" xr3:uid="{8BE1E911-8194-4EBA-8242-1558152F771F}" name="数量" dataDxfId="264" totalsRowDxfId="265"/>
    <tableColumn id="5" xr3:uid="{F2AB8208-BC2F-4D5F-A870-4218BA354677}" name="単価" dataDxfId="262" totalsRowDxfId="263" dataCellStyle="桁区切り"/>
    <tableColumn id="6" xr3:uid="{B979D339-729B-401E-B94E-E5C812F402DB}" name="仕入金額" totalsRowFunction="sum" dataDxfId="260" totalsRowDxfId="261" dataCellStyle="桁区切り">
      <calculatedColumnFormula>D2*E2</calculatedColumnFormula>
    </tableColumn>
    <tableColumn id="7" xr3:uid="{FABAC7F7-81F3-429F-A5DD-417474F4329D}" name="支払方法" dataDxfId="258" totalsRowDxfId="259" dataCellStyle="桁区切り"/>
    <tableColumn id="8" xr3:uid="{14FE94FA-7BB8-4BC6-9532-4B65DA618CA1}" name="支払金額" totalsRowFunction="sum" dataDxfId="256" totalsRowDxfId="257" dataCellStyle="桁区切り"/>
    <tableColumn id="9" xr3:uid="{768078D1-6332-4D9F-BBE4-76526AFDB8AE}" name="差引残高" totalsRowFunction="custom" dataDxfId="254" totalsRowDxfId="255" dataCellStyle="桁区切り">
      <calculatedColumnFormula>I1+F2-H2</calculatedColumnFormula>
      <totalsRowFormula>テーブル13121314151617181920212223242728293031323334353637383940[[#Totals],[仕入金額]]-テーブル13121314151617181920212223242728293031323334353637383940[[#Totals],[支払金額]]</totalsRowFormula>
    </tableColumn>
    <tableColumn id="10" xr3:uid="{C815E231-7B98-4F56-B3E9-CCAB2A98A7DF}" name="ソフト入力" dataDxfId="252" totalsRowDxfId="253" dataCellStyle="桁区切り"/>
    <tableColumn id="11" xr3:uid="{9312742A-ACF9-48C6-BFA4-2619A1D048E8}" name="裕子" dataDxfId="250" totalsRowDxfId="251" dataCellStyle="桁区切り"/>
  </tableColumns>
  <tableStyleInfo name="TableStyleLight18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ADFD2FCA-A790-4884-B5C1-6FF439690757}" name="テーブル131213141516171819202122232427282930313233343536373839404142" displayName="テーブル131213141516171819202122232427282930313233343536373839404142" ref="A1:K48" totalsRowCount="1" headerRowDxfId="249" headerRowBorderDxfId="247" tableBorderDxfId="248">
  <autoFilter ref="A1:K47" xr:uid="{84424A3F-6FAF-439F-9300-F3D82AE30E20}"/>
  <tableColumns count="11">
    <tableColumn id="1" xr3:uid="{3F73AF97-296B-410D-B562-D7AAB933DFA9}" name="日付" totalsRowLabel="集計" dataDxfId="245" totalsRowDxfId="246"/>
    <tableColumn id="2" xr3:uid="{D9EEA6D1-77B4-4180-9370-9F84958A1907}" name="現場名" dataDxfId="243" totalsRowDxfId="244"/>
    <tableColumn id="3" xr3:uid="{8EAA2F39-999F-44BC-8799-5D0D5FE95265}" name="品名" dataDxfId="241" totalsRowDxfId="242"/>
    <tableColumn id="4" xr3:uid="{05758320-AB0F-44AC-A78E-834CD3BDE0C6}" name="数量" dataDxfId="239" totalsRowDxfId="240"/>
    <tableColumn id="5" xr3:uid="{6609E8E9-978B-4941-8CD7-B7A264C12796}" name="単価" dataDxfId="237" totalsRowDxfId="238" dataCellStyle="桁区切り"/>
    <tableColumn id="6" xr3:uid="{D35F500C-82FA-4D6A-A884-A1FF61E59C4A}" name="仕入金額" totalsRowFunction="sum" dataDxfId="235" totalsRowDxfId="236" dataCellStyle="桁区切り">
      <calculatedColumnFormula>D2*E2</calculatedColumnFormula>
    </tableColumn>
    <tableColumn id="7" xr3:uid="{4441B133-AE2F-4317-AB6A-8E7575A9EC1C}" name="支払方法" dataDxfId="233" totalsRowDxfId="234" dataCellStyle="桁区切り"/>
    <tableColumn id="8" xr3:uid="{7D274DCB-F773-401C-8520-2AC91D4E0104}" name="支払金額" totalsRowFunction="sum" dataDxfId="231" totalsRowDxfId="232" dataCellStyle="桁区切り"/>
    <tableColumn id="9" xr3:uid="{04009F35-55E7-43B3-B064-1604327AE8CD}" name="差引残高" totalsRowFunction="custom" dataDxfId="229" totalsRowDxfId="230" dataCellStyle="桁区切り">
      <calculatedColumnFormula>I1+F2-H2</calculatedColumnFormula>
      <totalsRowFormula>テーブル131213141516171819202122232427282930313233343536373839404142[[#Totals],[仕入金額]]-テーブル131213141516171819202122232427282930313233343536373839404142[[#Totals],[支払金額]]</totalsRowFormula>
    </tableColumn>
    <tableColumn id="10" xr3:uid="{4C39DE9C-5056-40C0-853C-2621FE3CE2E4}" name="ソフト入力" dataDxfId="227" totalsRowDxfId="228" dataCellStyle="桁区切り"/>
    <tableColumn id="11" xr3:uid="{89E66C78-5464-410D-83CD-4EE594D76F2E}" name="裕子" totalsRowFunction="count" dataDxfId="225" totalsRowDxfId="226" dataCellStyle="桁区切り"/>
  </tableColumns>
  <tableStyleInfo name="TableStyleLight18" showFirstColumn="0" showLastColumn="0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EF36831-3116-46F0-8288-F8C21824B05B}" name="テーブル13121314151617181920212223242728293031323334353637383940414243" displayName="テーブル13121314151617181920212223242728293031323334353637383940414243" ref="A1:K48" totalsRowCount="1" headerRowDxfId="224" headerRowBorderDxfId="222" tableBorderDxfId="223">
  <autoFilter ref="A1:K47" xr:uid="{84424A3F-6FAF-439F-9300-F3D82AE30E20}"/>
  <tableColumns count="11">
    <tableColumn id="1" xr3:uid="{81C460FB-2BAD-4562-A7CC-3F790C286F26}" name="日付" totalsRowLabel="集計" dataDxfId="220" totalsRowDxfId="221"/>
    <tableColumn id="2" xr3:uid="{D7764495-8301-480D-A2C7-FD12990E73D1}" name="現場名" dataDxfId="218" totalsRowDxfId="219"/>
    <tableColumn id="3" xr3:uid="{34121ABD-5B39-4DA9-B3D0-D6DBE067D260}" name="品名" dataDxfId="216" totalsRowDxfId="217"/>
    <tableColumn id="4" xr3:uid="{D8827C3B-39E1-4F44-8091-508118F7A926}" name="数量" dataDxfId="214" totalsRowDxfId="215"/>
    <tableColumn id="5" xr3:uid="{70CBF978-66F3-403F-B5CF-6DA825DE2CD0}" name="単価" dataDxfId="212" totalsRowDxfId="213" dataCellStyle="桁区切り" totalsRowCellStyle="桁区切り"/>
    <tableColumn id="6" xr3:uid="{0D31F449-4ED1-4FEF-9C4A-88FC9AF1515E}" name="仕入金額" totalsRowFunction="sum" dataDxfId="210" totalsRowDxfId="211" dataCellStyle="桁区切り" totalsRowCellStyle="桁区切り">
      <calculatedColumnFormula>D2*E2</calculatedColumnFormula>
    </tableColumn>
    <tableColumn id="7" xr3:uid="{23AA334C-3648-4538-A92C-C356EC7A88B6}" name="支払方法" dataDxfId="208" totalsRowDxfId="209" dataCellStyle="桁区切り" totalsRowCellStyle="桁区切り"/>
    <tableColumn id="8" xr3:uid="{CFD1E925-F508-424D-847C-03B5C3960039}" name="支払金額" totalsRowFunction="sum" dataDxfId="206" totalsRowDxfId="207" dataCellStyle="桁区切り" totalsRowCellStyle="桁区切り"/>
    <tableColumn id="9" xr3:uid="{0C3C049D-606D-492E-8C6F-9695115FD1BC}" name="差引残高" totalsRowFunction="custom" dataDxfId="204" totalsRowDxfId="205" dataCellStyle="桁区切り" totalsRowCellStyle="桁区切り">
      <calculatedColumnFormula>I1+F2-H2</calculatedColumnFormula>
      <totalsRowFormula>テーブル13121314151617181920212223242728293031323334353637383940414243[[#Totals],[仕入金額]]-テーブル13121314151617181920212223242728293031323334353637383940414243[[#Totals],[支払金額]]</totalsRowFormula>
    </tableColumn>
    <tableColumn id="10" xr3:uid="{407E8FA6-1255-4CEA-A46B-973CAEB5CEE3}" name="ソフト入力" dataDxfId="202" totalsRowDxfId="203" dataCellStyle="桁区切り" totalsRowCellStyle="桁区切り"/>
    <tableColumn id="11" xr3:uid="{0C4FA130-F448-4858-8598-D90938C719B0}" name="裕子" totalsRowFunction="count" dataDxfId="200" totalsRowDxfId="201" dataCellStyle="桁区切り" totalsRowCellStyle="桁区切り"/>
  </tableColumns>
  <tableStyleInfo name="TableStyleLight18" showFirstColumn="0" showLastColumn="0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7C178DCC-0D8C-442A-915F-7A3AD011883E}" name="テーブル1312131415161718192021222324272829303132333435363738394041424344" displayName="テーブル1312131415161718192021222324272829303132333435363738394041424344" ref="A1:K49" totalsRowCount="1" headerRowDxfId="199" headerRowBorderDxfId="197" tableBorderDxfId="198">
  <autoFilter ref="A1:K48" xr:uid="{84424A3F-6FAF-439F-9300-F3D82AE30E20}"/>
  <tableColumns count="11">
    <tableColumn id="1" xr3:uid="{48CEE842-01AF-4D81-86C6-FAF8CEFC6940}" name="日付" totalsRowLabel="集計" dataDxfId="195" totalsRowDxfId="196"/>
    <tableColumn id="2" xr3:uid="{204CCCA4-7841-4E97-9531-A658D19B0508}" name="現場名" dataDxfId="193" totalsRowDxfId="194"/>
    <tableColumn id="3" xr3:uid="{1F84015B-4B7A-4813-8840-4287358E3F99}" name="品名" dataDxfId="191" totalsRowDxfId="192"/>
    <tableColumn id="4" xr3:uid="{BBF0FF1C-D0C2-47D1-9A35-ACA92149A283}" name="数量" dataDxfId="189" totalsRowDxfId="190"/>
    <tableColumn id="5" xr3:uid="{DFEF4544-128E-42E5-8E47-E8821722A5CB}" name="単価" dataDxfId="187" totalsRowDxfId="188" dataCellStyle="桁区切り"/>
    <tableColumn id="6" xr3:uid="{0D015948-1F23-42D2-AE82-384958DF67AF}" name="仕入金額" totalsRowFunction="sum" dataDxfId="185" totalsRowDxfId="186" dataCellStyle="桁区切り">
      <calculatedColumnFormula>D2*E2</calculatedColumnFormula>
    </tableColumn>
    <tableColumn id="7" xr3:uid="{FCD2409A-7B5A-4CAE-ACC3-7931154A8BA6}" name="支払方法" dataDxfId="183" totalsRowDxfId="184" dataCellStyle="桁区切り"/>
    <tableColumn id="8" xr3:uid="{67B933B5-D717-4111-9113-410207589093}" name="支払金額" totalsRowFunction="sum" dataDxfId="181" totalsRowDxfId="182" dataCellStyle="桁区切り"/>
    <tableColumn id="9" xr3:uid="{14D61203-B875-4826-90C6-96466BF46958}" name="差引残高" totalsRowFunction="custom" dataDxfId="179" totalsRowDxfId="180" dataCellStyle="桁区切り">
      <calculatedColumnFormula>I1+F2-H2</calculatedColumnFormula>
      <totalsRowFormula>テーブル1312131415161718192021222324272829303132333435363738394041424344[[#Totals],[仕入金額]]-テーブル1312131415161718192021222324272829303132333435363738394041424344[[#Totals],[支払金額]]</totalsRowFormula>
    </tableColumn>
    <tableColumn id="10" xr3:uid="{CA2D48DA-F5EC-49C9-A408-68EA436DB318}" name="ソフト入力" dataDxfId="177" totalsRowDxfId="178" dataCellStyle="桁区切り"/>
    <tableColumn id="11" xr3:uid="{1CFBABEF-A262-4E0E-BAE6-E7091F8DA64C}" name="裕子" dataDxfId="175" totalsRowDxfId="176" dataCellStyle="桁区切り"/>
  </tableColumns>
  <tableStyleInfo name="TableStyleLight18" showFirstColumn="0" showLastColumn="0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E145C828-7C11-49D7-8700-6B8735B9BA06}" name="テーブル131213141516171819202122232427282930313233343536373839404142434445" displayName="テーブル131213141516171819202122232427282930313233343536373839404142434445" ref="A1:K48" totalsRowCount="1" headerRowDxfId="174" headerRowBorderDxfId="172" tableBorderDxfId="173">
  <autoFilter ref="A1:K47" xr:uid="{84424A3F-6FAF-439F-9300-F3D82AE30E20}"/>
  <tableColumns count="11">
    <tableColumn id="1" xr3:uid="{577D3026-75B6-4DAE-9E69-5FF57A971EB8}" name="日付" totalsRowLabel="集計" dataDxfId="170" totalsRowDxfId="171"/>
    <tableColumn id="2" xr3:uid="{4B2375A2-42E1-44E2-A7E4-4B9F5AE758CE}" name="現場名" dataDxfId="168" totalsRowDxfId="169"/>
    <tableColumn id="3" xr3:uid="{25BFE09B-10B2-451C-8A32-6595A4A3D36A}" name="品名" dataDxfId="166" totalsRowDxfId="167"/>
    <tableColumn id="4" xr3:uid="{146CBCF5-89A8-4756-8D65-C4FDAC79258A}" name="数量" dataDxfId="164" totalsRowDxfId="165"/>
    <tableColumn id="5" xr3:uid="{542FE9C2-E250-4DDF-9E24-52E7E8082536}" name="単価" dataDxfId="162" totalsRowDxfId="163" dataCellStyle="桁区切り"/>
    <tableColumn id="6" xr3:uid="{965B2E2C-B9FF-4A2B-ABD4-337DC0D2D872}" name="仕入金額" totalsRowFunction="sum" dataDxfId="160" totalsRowDxfId="161" dataCellStyle="桁区切り">
      <calculatedColumnFormula>D2*E2</calculatedColumnFormula>
    </tableColumn>
    <tableColumn id="7" xr3:uid="{F645D250-CC35-4081-87E9-D6CCC6962455}" name="支払方法" dataDxfId="158" totalsRowDxfId="159" dataCellStyle="桁区切り"/>
    <tableColumn id="8" xr3:uid="{DA7EBF57-95BC-4CC7-AF94-4AB2E5AE115A}" name="支払金額" totalsRowFunction="sum" dataDxfId="156" totalsRowDxfId="157" dataCellStyle="桁区切り"/>
    <tableColumn id="9" xr3:uid="{DFA552EB-4ABB-4577-840F-1C3F5BE1F41B}" name="差引残高" dataDxfId="154" totalsRowDxfId="155" dataCellStyle="桁区切り">
      <calculatedColumnFormula>I1+F2-H2</calculatedColumnFormula>
    </tableColumn>
    <tableColumn id="10" xr3:uid="{F9145F0B-0690-45F9-8F1C-8EFD31EE9257}" name="ソフト入力" dataDxfId="152" totalsRowDxfId="153" dataCellStyle="桁区切り"/>
    <tableColumn id="11" xr3:uid="{7F485D32-8C91-4FEC-9169-6A6504323C4E}" name="裕子" dataDxfId="150" totalsRowDxfId="151" dataCellStyle="桁区切り"/>
  </tableColumns>
  <tableStyleInfo name="TableStyleLight18" showFirstColumn="0" showLastColumn="0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A794C764-1DE0-4437-A05D-AE16E2DB22B4}" name="テーブル13121314151617181920212223242728293031323334353637383940414243444546" displayName="テーブル13121314151617181920212223242728293031323334353637383940414243444546" ref="A1:K48" totalsRowCount="1" headerRowDxfId="149" headerRowBorderDxfId="147" tableBorderDxfId="148">
  <autoFilter ref="A1:K47" xr:uid="{84424A3F-6FAF-439F-9300-F3D82AE30E20}"/>
  <tableColumns count="11">
    <tableColumn id="1" xr3:uid="{460004B1-A655-4AD6-AA78-E32D2084D92A}" name="日付" totalsRowLabel="集計" dataDxfId="145" totalsRowDxfId="146"/>
    <tableColumn id="2" xr3:uid="{9FA854C8-D70F-44C7-9F03-48B23E51C17C}" name="現場名" dataDxfId="143" totalsRowDxfId="144"/>
    <tableColumn id="3" xr3:uid="{BA4B237B-F472-404D-98AB-724FA34AA491}" name="品名" dataDxfId="141" totalsRowDxfId="142"/>
    <tableColumn id="4" xr3:uid="{47E050C2-0A7A-4EE6-9F78-2560AA0CE41E}" name="数量" dataDxfId="139" totalsRowDxfId="140"/>
    <tableColumn id="5" xr3:uid="{C89F5F78-04F1-4A49-9F33-40C15629E2B4}" name="単価" dataDxfId="137" totalsRowDxfId="138"/>
    <tableColumn id="6" xr3:uid="{AE9E6BB7-1801-4D6F-8FA1-96D2AF409283}" name="仕入金額" totalsRowFunction="sum" dataDxfId="135" totalsRowDxfId="136">
      <calculatedColumnFormula>D2*E2</calculatedColumnFormula>
    </tableColumn>
    <tableColumn id="7" xr3:uid="{AEB8D9D0-756E-424C-8345-BBFAF0C206FC}" name="支払方法" dataDxfId="133" totalsRowDxfId="134"/>
    <tableColumn id="8" xr3:uid="{E28E3DE5-3AB5-4A11-B3A4-203383488726}" name="支払金額" totalsRowFunction="sum" dataDxfId="131" totalsRowDxfId="132"/>
    <tableColumn id="9" xr3:uid="{3B5BBDBD-D7CE-4F5F-BBAB-4BDD0AECA3B3}" name="差引残高" totalsRowFunction="custom" dataDxfId="129" totalsRowDxfId="130">
      <calculatedColumnFormula>I1+F2-H2</calculatedColumnFormula>
      <totalsRowFormula>テーブル13121314151617181920212223242728293031323334353637383940414243444546[[#Totals],[仕入金額]]-テーブル13121314151617181920212223242728293031323334353637383940414243444546[[#Totals],[支払金額]]</totalsRowFormula>
    </tableColumn>
    <tableColumn id="10" xr3:uid="{1D18824F-5530-4558-B435-6A4AFDD60B3A}" name="ソフト入力" dataDxfId="127" totalsRowDxfId="128"/>
    <tableColumn id="11" xr3:uid="{11A17754-8757-4850-9118-AB43968BBAFE}" name="裕子" dataDxfId="125" totalsRowDxfId="126"/>
  </tableColumns>
  <tableStyleInfo name="TableStyleLight18" showFirstColumn="0" showLastColumn="0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EF1807EF-2BE1-4C6D-AE1B-6EB3792C5001}" name="テーブル1312131415161718192021222324272829303132333435363738394041424344454647" displayName="テーブル1312131415161718192021222324272829303132333435363738394041424344454647" ref="A1:K48" totalsRowCount="1" headerRowDxfId="124" headerRowBorderDxfId="122" tableBorderDxfId="123">
  <autoFilter ref="A1:K47" xr:uid="{84424A3F-6FAF-439F-9300-F3D82AE30E20}"/>
  <tableColumns count="11">
    <tableColumn id="1" xr3:uid="{BC3BB423-4BA0-438C-BE89-70C7B6530E33}" name="日付" totalsRowLabel="集計" dataDxfId="120" totalsRowDxfId="121"/>
    <tableColumn id="2" xr3:uid="{520F4A40-D9E0-4E8C-A245-630B6D6BC432}" name="現場名" dataDxfId="118" totalsRowDxfId="119"/>
    <tableColumn id="3" xr3:uid="{8ECE4F20-B613-435D-8E09-9FEB84C9FB49}" name="品名" dataDxfId="116" totalsRowDxfId="117"/>
    <tableColumn id="4" xr3:uid="{43B12CC8-38EB-4685-9FAC-47EC46304E37}" name="数量" dataDxfId="114" totalsRowDxfId="115"/>
    <tableColumn id="5" xr3:uid="{77E12C5C-D3DE-40E1-813A-FCD661C6FD41}" name="単価" dataDxfId="112" totalsRowDxfId="113"/>
    <tableColumn id="6" xr3:uid="{4A4AE325-4305-46EF-87BD-B72032769551}" name="仕入金額" totalsRowFunction="sum" dataDxfId="110" totalsRowDxfId="111">
      <calculatedColumnFormula>D2*E2</calculatedColumnFormula>
    </tableColumn>
    <tableColumn id="7" xr3:uid="{E730286A-74F5-44C1-A407-C25BDF40A94F}" name="支払方法" dataDxfId="108" totalsRowDxfId="109"/>
    <tableColumn id="8" xr3:uid="{021F9BD1-D581-4C12-BC58-65CC5D3F97E7}" name="支払金額" totalsRowFunction="sum" dataDxfId="106" totalsRowDxfId="107"/>
    <tableColumn id="9" xr3:uid="{77ADDAF3-AD9A-4320-A7DA-8F46279ACF5E}" name="差引残高" totalsRowFunction="custom" dataDxfId="104" totalsRowDxfId="105">
      <calculatedColumnFormula>I1+F2-H2</calculatedColumnFormula>
      <totalsRowFormula>テーブル1312131415161718192021222324272829303132333435363738394041424344454647[[#Totals],[仕入金額]]-テーブル1312131415161718192021222324272829303132333435363738394041424344454647[[#Totals],[支払金額]]</totalsRowFormula>
    </tableColumn>
    <tableColumn id="10" xr3:uid="{C2F91436-1220-4055-A490-160B866D14FA}" name="ソフト入力" dataDxfId="102" totalsRowDxfId="103"/>
    <tableColumn id="11" xr3:uid="{8CEFEFF6-542E-49BE-9A62-40663B1AD309}" name="裕子" dataDxfId="100" totalsRowDxfId="101"/>
  </tableColumns>
  <tableStyleInfo name="TableStyleLight18" showFirstColumn="0" showLastColumn="0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192989D3-1F4A-4625-A61D-79E297E56E41}" name="テーブル131213141516171819202122232427282930313233343536373839404142434445464748" displayName="テーブル131213141516171819202122232427282930313233343536373839404142434445464748" ref="A1:K48" totalsRowCount="1" headerRowDxfId="99" headerRowBorderDxfId="97" tableBorderDxfId="98">
  <autoFilter ref="A1:K47" xr:uid="{84424A3F-6FAF-439F-9300-F3D82AE30E20}"/>
  <tableColumns count="11">
    <tableColumn id="1" xr3:uid="{4FF5C1CD-E7FF-42DD-86C5-E90DC83A42DC}" name="日付" totalsRowLabel="集計" dataDxfId="95" totalsRowDxfId="96"/>
    <tableColumn id="2" xr3:uid="{23CF63DC-A96C-4317-B025-53EB88858793}" name="現場名" dataDxfId="93" totalsRowDxfId="94"/>
    <tableColumn id="3" xr3:uid="{EA07E47D-80CE-45DD-BCC7-2217FAE41D3A}" name="品名" dataDxfId="91" totalsRowDxfId="92"/>
    <tableColumn id="4" xr3:uid="{25EB59FC-4C8B-42F3-A6E9-57C070331BBB}" name="数量" dataDxfId="89" totalsRowDxfId="90"/>
    <tableColumn id="5" xr3:uid="{26D28784-6046-41F6-A544-F44A54ACE892}" name="単価" dataDxfId="87" totalsRowDxfId="88"/>
    <tableColumn id="6" xr3:uid="{6AFE8C5A-9407-4CCB-9EFC-F17ABE0AE231}" name="仕入金額" totalsRowFunction="sum" dataDxfId="85" totalsRowDxfId="86">
      <calculatedColumnFormula>D2*E2</calculatedColumnFormula>
    </tableColumn>
    <tableColumn id="7" xr3:uid="{453D2275-AD95-451F-B84C-DE3314BBEC76}" name="支払方法" dataDxfId="83" totalsRowDxfId="84"/>
    <tableColumn id="8" xr3:uid="{DC1AA356-E922-48E7-B3B4-33D70B8CD350}" name="支払金額" totalsRowFunction="sum" dataDxfId="81" totalsRowDxfId="82"/>
    <tableColumn id="9" xr3:uid="{01921529-85F3-4D92-A5AA-AF3300F3EE10}" name="差引残高" totalsRowFunction="custom" dataDxfId="79" totalsRowDxfId="80">
      <calculatedColumnFormula>I1+F2-H2</calculatedColumnFormula>
      <totalsRowFormula>テーブル131213141516171819202122232427282930313233343536373839404142434445464748[[#Totals],[仕入金額]]-テーブル131213141516171819202122232427282930313233343536373839404142434445464748[[#Totals],[支払金額]]</totalsRowFormula>
    </tableColumn>
    <tableColumn id="10" xr3:uid="{AAC28C18-015F-41A1-BBEE-ADE29FA79A22}" name="ソフト入力" dataDxfId="77" totalsRowDxfId="78"/>
    <tableColumn id="11" xr3:uid="{C3698825-540D-4F25-8C2C-04BA0C5384C3}" name="裕子" dataDxfId="75" totalsRowDxfId="76"/>
  </tableColumns>
  <tableStyleInfo name="TableStyleLight18" showFirstColumn="0" showLastColumn="0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64E54C3F-E1E0-4FD2-A86F-307879EEF8B8}" name="テーブル13121314151617181920212223242728293031323334353637383940414243444546474849" displayName="テーブル13121314151617181920212223242728293031323334353637383940414243444546474849" ref="A1:K48" totalsRowCount="1" headerRowDxfId="74" headerRowBorderDxfId="72" tableBorderDxfId="73">
  <autoFilter ref="A1:K47" xr:uid="{84424A3F-6FAF-439F-9300-F3D82AE30E20}"/>
  <tableColumns count="11">
    <tableColumn id="1" xr3:uid="{BC3B8372-7453-42B5-90C2-8EBCB998EA90}" name="日付" totalsRowLabel="集計" dataDxfId="70" totalsRowDxfId="71"/>
    <tableColumn id="2" xr3:uid="{EDE31D0C-92CC-494D-8159-8BEE71EDFFDE}" name="現場名" dataDxfId="68" totalsRowDxfId="69"/>
    <tableColumn id="3" xr3:uid="{9DA5B2B7-7BF1-405D-A02B-C0B4ED10717D}" name="品名" dataDxfId="66" totalsRowDxfId="67"/>
    <tableColumn id="4" xr3:uid="{6434ADB3-580C-40C1-8038-89EDFF048134}" name="数量" dataDxfId="64" totalsRowDxfId="65"/>
    <tableColumn id="5" xr3:uid="{A0470AA3-D65E-4C48-88FB-56201CFEFF2A}" name="単価" dataDxfId="62" totalsRowDxfId="63" dataCellStyle="桁区切り"/>
    <tableColumn id="6" xr3:uid="{A78EE9AA-13BB-4DA8-AAB9-488D81270B98}" name="仕入金額" totalsRowFunction="sum" dataDxfId="60" totalsRowDxfId="61" dataCellStyle="桁区切り">
      <calculatedColumnFormula>D2*E2</calculatedColumnFormula>
    </tableColumn>
    <tableColumn id="7" xr3:uid="{4FB11599-0823-4781-A920-D4509C2B0956}" name="支払方法" dataDxfId="58" totalsRowDxfId="59" dataCellStyle="桁区切り"/>
    <tableColumn id="8" xr3:uid="{3CD13D91-2240-496B-BD9E-1C0F0AB43BA4}" name="支払金額" totalsRowFunction="sum" dataDxfId="56" totalsRowDxfId="57" dataCellStyle="桁区切り"/>
    <tableColumn id="9" xr3:uid="{DA7C4DA7-40B6-4500-9086-C869902A149D}" name="差引残高" totalsRowFunction="custom" dataDxfId="54" totalsRowDxfId="55" dataCellStyle="桁区切り">
      <calculatedColumnFormula>I1+F2-H2</calculatedColumnFormula>
      <totalsRowFormula>テーブル13121314151617181920212223242728293031323334353637383940414243444546474849[[#Totals],[仕入金額]]-テーブル13121314151617181920212223242728293031323334353637383940414243444546474849[[#Totals],[支払金額]]</totalsRowFormula>
    </tableColumn>
    <tableColumn id="10" xr3:uid="{EC96260E-D7C0-495F-BFEE-E965A2B2F825}" name="ソフト入力" dataDxfId="52" totalsRowDxfId="53" dataCellStyle="桁区切り"/>
    <tableColumn id="11" xr3:uid="{86942649-11EB-4676-83A1-221A14C7F9D4}" name="裕子" dataDxfId="50" totalsRowDxfId="51" dataCellStyle="桁区切り"/>
  </tableColumns>
  <tableStyleInfo name="TableStyleLight18" showFirstColumn="0" showLastColumn="0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E947DF51-FE0C-4912-B6EC-935B45C1FD4A}" name="テーブル1312131415161718192021222324272829303132333435363738394041424344454647484950" displayName="テーブル1312131415161718192021222324272829303132333435363738394041424344454647484950" ref="A1:K48" totalsRowCount="1" headerRowDxfId="49" headerRowBorderDxfId="47" tableBorderDxfId="48">
  <autoFilter ref="A1:K47" xr:uid="{84424A3F-6FAF-439F-9300-F3D82AE30E20}"/>
  <tableColumns count="11">
    <tableColumn id="1" xr3:uid="{89651AB8-9870-4095-81B2-3FE8A4F17BAD}" name="日付" totalsRowLabel="集計" dataDxfId="45" totalsRowDxfId="46"/>
    <tableColumn id="2" xr3:uid="{703FBC88-FF9F-49FD-9496-638A42A6E28A}" name="現場名" dataDxfId="43" totalsRowDxfId="44"/>
    <tableColumn id="3" xr3:uid="{149F6D18-1B3B-477B-BCBD-3BBAA3E37D82}" name="品名" dataDxfId="41" totalsRowDxfId="42"/>
    <tableColumn id="4" xr3:uid="{61B7AA34-133A-4A62-A6FE-18EFB184367C}" name="数量" dataDxfId="39" totalsRowDxfId="40"/>
    <tableColumn id="5" xr3:uid="{E02AEEB2-B7A6-4DE4-8ED1-1E840EC74044}" name="単価" dataDxfId="37" totalsRowDxfId="38"/>
    <tableColumn id="6" xr3:uid="{EF432B1D-5333-44AA-8EDF-060C4563C80F}" name="仕入金額" totalsRowFunction="sum" dataDxfId="35" totalsRowDxfId="36">
      <calculatedColumnFormula>D2*E2</calculatedColumnFormula>
    </tableColumn>
    <tableColumn id="7" xr3:uid="{B74445BD-4C08-4DC1-A8A0-0DCC1C98C5EB}" name="支払方法" dataDxfId="33" totalsRowDxfId="34"/>
    <tableColumn id="8" xr3:uid="{BE5889B2-09C8-4BA6-94C9-BFCB1DF6D727}" name="支払金額" totalsRowFunction="sum" dataDxfId="31" totalsRowDxfId="32"/>
    <tableColumn id="9" xr3:uid="{384CA95B-E8CC-4743-8CDB-3A3DCFD60CD3}" name="差引残高" totalsRowFunction="custom" dataDxfId="29" totalsRowDxfId="30">
      <calculatedColumnFormula>I1+F2-H2</calculatedColumnFormula>
      <totalsRowFormula>テーブル1312131415161718192021222324272829303132333435363738394041424344454647484950[[#Totals],[仕入金額]]-テーブル1312131415161718192021222324272829303132333435363738394041424344454647484950[[#Totals],[支払金額]]</totalsRowFormula>
    </tableColumn>
    <tableColumn id="10" xr3:uid="{BABA883B-1029-48FB-BB54-314EAF8A0A03}" name="ソフト入力" dataDxfId="27" totalsRowDxfId="28"/>
    <tableColumn id="11" xr3:uid="{F8586D6E-569F-4144-9F4F-7E994C3D3BF1}" name="裕子" dataDxfId="25" totalsRowDxfId="26"/>
  </tableColumns>
  <tableStyleInfo name="TableStyleLight18" showFirstColumn="0" showLastColumn="0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18BEF784-793A-4870-B31F-F6329AD37767}" name="テーブル131213141516171819202122232427282930313233343536373839404142434445464748495051" displayName="テーブル131213141516171819202122232427282930313233343536373839404142434445464748495051" ref="A1:K48" totalsRowCount="1" headerRowDxfId="24" headerRowBorderDxfId="22" tableBorderDxfId="23">
  <autoFilter ref="A1:K47" xr:uid="{84424A3F-6FAF-439F-9300-F3D82AE30E20}"/>
  <tableColumns count="11">
    <tableColumn id="1" xr3:uid="{B382C984-56C9-4D9C-8BA4-FCB6A46DBC4D}" name="日付" totalsRowLabel="集計" dataDxfId="20" totalsRowDxfId="21"/>
    <tableColumn id="2" xr3:uid="{41F24D08-72F2-4F48-93D9-C638C0A3180A}" name="現場名" dataDxfId="18" totalsRowDxfId="19"/>
    <tableColumn id="3" xr3:uid="{43CB1FEC-B9B8-44E2-B941-58A27B164610}" name="品名" dataDxfId="16" totalsRowDxfId="17"/>
    <tableColumn id="4" xr3:uid="{4A6DAE33-B60A-41D8-A99C-D5110F648320}" name="数量" dataDxfId="14" totalsRowDxfId="15"/>
    <tableColumn id="5" xr3:uid="{72A0C754-BC98-48A9-A6AC-4E58647BDC7A}" name="単価" dataDxfId="12" totalsRowDxfId="13"/>
    <tableColumn id="6" xr3:uid="{AE8C4665-081B-4F92-BEAF-CD07DBD43620}" name="仕入金額" totalsRowFunction="sum" dataDxfId="10" totalsRowDxfId="11">
      <calculatedColumnFormula>D2*E2</calculatedColumnFormula>
    </tableColumn>
    <tableColumn id="7" xr3:uid="{88AE0265-8E0A-48B2-A08B-1F86F366D1D0}" name="支払方法" dataDxfId="8" totalsRowDxfId="9"/>
    <tableColumn id="8" xr3:uid="{39BB37B2-59EF-47B4-BC1E-76B42E6FEE54}" name="支払金額" totalsRowFunction="sum" dataDxfId="6" totalsRowDxfId="7"/>
    <tableColumn id="9" xr3:uid="{8BF787D8-BAF9-4939-9918-7F43C8F02E50}" name="差引残高" totalsRowFunction="custom" dataDxfId="4" totalsRowDxfId="5">
      <calculatedColumnFormula>I1+F2-H2</calculatedColumnFormula>
      <totalsRowFormula>テーブル131213141516171819202122232427282930313233343536373839404142434445464748495051[[#Totals],[仕入金額]]-テーブル131213141516171819202122232427282930313233343536373839404142434445464748495051[[#Totals],[支払金額]]</totalsRowFormula>
    </tableColumn>
    <tableColumn id="10" xr3:uid="{1F9BD78A-462C-44BF-9D4C-87139268D1B9}" name="ソフト入力" dataDxfId="2" totalsRowDxfId="3"/>
    <tableColumn id="11" xr3:uid="{70B577C7-1F1A-4836-9EC8-47BDE9463FDD}" name="裕子" dataDxfId="0" totalsRowDxfId="1"/>
  </tableColumns>
  <tableStyleInfo name="TableStyleLight18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8B48B-394D-457E-B90B-1BE0051A8CF5}">
  <sheetPr codeName="Sheet1">
    <tabColor rgb="FF7030A0"/>
  </sheetPr>
  <dimension ref="A1:AC69"/>
  <sheetViews>
    <sheetView tabSelected="1" zoomScaleNormal="100" workbookViewId="0">
      <pane xSplit="3" ySplit="1" topLeftCell="D2" activePane="bottomRight" state="frozen"/>
      <selection pane="bottomRight" activeCell="AB11" sqref="AB11"/>
      <selection pane="bottomLeft" activeCell="A2" sqref="A2"/>
      <selection pane="topRight" activeCell="D1" sqref="D1"/>
    </sheetView>
  </sheetViews>
  <sheetFormatPr defaultRowHeight="18.75"/>
  <cols>
    <col min="1" max="1" width="3.25" customWidth="1"/>
    <col min="2" max="2" width="13" customWidth="1"/>
    <col min="3" max="3" width="5.5" customWidth="1"/>
    <col min="4" max="4" width="10.625" customWidth="1"/>
    <col min="5" max="5" width="3.625" style="59" customWidth="1"/>
    <col min="6" max="6" width="10.625" style="39" customWidth="1"/>
    <col min="7" max="7" width="3.625" style="59" customWidth="1"/>
    <col min="8" max="8" width="10.625" style="39" customWidth="1"/>
    <col min="9" max="9" width="3.625" style="59" customWidth="1"/>
    <col min="10" max="10" width="10.625" style="39" customWidth="1"/>
    <col min="11" max="11" width="3.625" style="59" customWidth="1"/>
    <col min="12" max="12" width="10.625" style="39" customWidth="1"/>
    <col min="13" max="13" width="3.625" style="59" customWidth="1"/>
    <col min="14" max="14" width="10.625" style="39" customWidth="1"/>
    <col min="15" max="15" width="3.625" style="59" customWidth="1"/>
    <col min="16" max="16" width="10.75" style="39" customWidth="1"/>
    <col min="17" max="17" width="3.625" style="59" customWidth="1"/>
    <col min="18" max="18" width="10.625" style="39" customWidth="1"/>
    <col min="19" max="19" width="3.625" style="59" customWidth="1"/>
    <col min="20" max="20" width="10.625" style="39" customWidth="1"/>
    <col min="21" max="21" width="3.625" style="59" customWidth="1"/>
    <col min="22" max="22" width="10.625" style="39" customWidth="1"/>
    <col min="23" max="23" width="3.625" style="59" customWidth="1"/>
    <col min="24" max="24" width="10.625" style="60" customWidth="1"/>
    <col min="25" max="25" width="3.625" style="59" customWidth="1"/>
    <col min="26" max="28" width="10.625" style="60" customWidth="1"/>
    <col min="29" max="29" width="3.625" style="59" customWidth="1"/>
  </cols>
  <sheetData>
    <row r="1" spans="1:29" ht="19.5" thickBot="1">
      <c r="A1" s="57"/>
      <c r="B1" s="69"/>
      <c r="C1" s="70" t="s">
        <v>0</v>
      </c>
      <c r="D1" s="71" t="s">
        <v>1</v>
      </c>
      <c r="E1" s="72" t="s">
        <v>2</v>
      </c>
      <c r="F1" s="82" t="s">
        <v>3</v>
      </c>
      <c r="G1" s="72" t="s">
        <v>2</v>
      </c>
      <c r="H1" s="82" t="s">
        <v>4</v>
      </c>
      <c r="I1" s="72" t="s">
        <v>2</v>
      </c>
      <c r="J1" s="82" t="s">
        <v>5</v>
      </c>
      <c r="K1" s="72" t="s">
        <v>2</v>
      </c>
      <c r="L1" s="82" t="s">
        <v>6</v>
      </c>
      <c r="M1" s="72" t="s">
        <v>2</v>
      </c>
      <c r="N1" s="82" t="s">
        <v>7</v>
      </c>
      <c r="O1" s="72" t="s">
        <v>2</v>
      </c>
      <c r="P1" s="82" t="s">
        <v>8</v>
      </c>
      <c r="Q1" s="72" t="s">
        <v>2</v>
      </c>
      <c r="R1" s="82" t="s">
        <v>9</v>
      </c>
      <c r="S1" s="72" t="s">
        <v>2</v>
      </c>
      <c r="T1" s="82" t="s">
        <v>10</v>
      </c>
      <c r="U1" s="72" t="s">
        <v>2</v>
      </c>
      <c r="V1" s="82" t="s">
        <v>11</v>
      </c>
      <c r="W1" s="72" t="s">
        <v>2</v>
      </c>
      <c r="X1" s="89" t="s">
        <v>12</v>
      </c>
      <c r="Y1" s="72" t="s">
        <v>2</v>
      </c>
      <c r="Z1" s="89" t="s">
        <v>13</v>
      </c>
      <c r="AA1" s="92" t="s">
        <v>14</v>
      </c>
      <c r="AB1" s="89" t="s">
        <v>15</v>
      </c>
      <c r="AC1" s="72" t="s">
        <v>2</v>
      </c>
    </row>
    <row r="2" spans="1:29">
      <c r="A2" s="58"/>
      <c r="B2" s="2" t="s">
        <v>16</v>
      </c>
      <c r="C2" s="68" t="s">
        <v>17</v>
      </c>
      <c r="D2" s="80">
        <v>27500</v>
      </c>
      <c r="E2" s="81" t="s">
        <v>18</v>
      </c>
      <c r="F2" s="80">
        <v>33000</v>
      </c>
      <c r="G2" s="83" t="s">
        <v>18</v>
      </c>
      <c r="H2" s="80">
        <v>60500</v>
      </c>
      <c r="I2" s="83" t="s">
        <v>18</v>
      </c>
      <c r="J2" s="80"/>
      <c r="K2" s="83"/>
      <c r="L2" s="80"/>
      <c r="M2" s="83"/>
      <c r="N2" s="80"/>
      <c r="O2" s="83"/>
      <c r="P2" s="80"/>
      <c r="Q2" s="83"/>
      <c r="R2" s="80"/>
      <c r="S2" s="83"/>
      <c r="T2" s="80"/>
      <c r="U2" s="83"/>
      <c r="V2" s="80"/>
      <c r="W2" s="83"/>
      <c r="X2" s="90"/>
      <c r="Y2" s="83"/>
      <c r="Z2" s="90">
        <v>7000</v>
      </c>
      <c r="AA2" s="93"/>
      <c r="AB2" s="90">
        <f>Z2+AA2</f>
        <v>7000</v>
      </c>
      <c r="AC2" s="83"/>
    </row>
    <row r="3" spans="1:29">
      <c r="A3" s="58"/>
      <c r="B3" s="62" t="s">
        <v>19</v>
      </c>
      <c r="C3" s="61" t="s">
        <v>17</v>
      </c>
      <c r="D3" s="31"/>
      <c r="E3" s="73"/>
      <c r="F3" s="31"/>
      <c r="G3" s="73"/>
      <c r="H3" s="31"/>
      <c r="I3" s="73"/>
      <c r="J3" s="31"/>
      <c r="K3" s="86"/>
      <c r="L3" s="75"/>
      <c r="M3" s="73"/>
      <c r="N3" s="31"/>
      <c r="O3" s="73"/>
      <c r="P3" s="31"/>
      <c r="Q3" s="73"/>
      <c r="R3" s="31"/>
      <c r="S3" s="73"/>
      <c r="T3" s="88"/>
      <c r="U3" s="73"/>
      <c r="V3" s="31"/>
      <c r="W3" s="73"/>
      <c r="X3" s="91"/>
      <c r="Y3" s="73"/>
      <c r="Z3" s="91"/>
      <c r="AA3" s="94"/>
      <c r="AB3" s="91">
        <f t="shared" ref="AB3:AB57" si="0">Z3+AA3</f>
        <v>0</v>
      </c>
      <c r="AC3" s="73"/>
    </row>
    <row r="4" spans="1:29">
      <c r="A4" s="58"/>
      <c r="B4" s="1" t="s">
        <v>20</v>
      </c>
      <c r="C4" s="61" t="s">
        <v>17</v>
      </c>
      <c r="D4" s="31"/>
      <c r="E4" s="73"/>
      <c r="F4" s="31"/>
      <c r="G4" s="73"/>
      <c r="H4" s="31"/>
      <c r="I4" s="73"/>
      <c r="J4" s="31"/>
      <c r="K4" s="73"/>
      <c r="L4" s="31"/>
      <c r="M4" s="73"/>
      <c r="N4" s="31"/>
      <c r="O4" s="73"/>
      <c r="P4" s="31"/>
      <c r="Q4" s="73"/>
      <c r="R4" s="31"/>
      <c r="S4" s="73"/>
      <c r="T4" s="31"/>
      <c r="U4" s="73"/>
      <c r="V4" s="31"/>
      <c r="W4" s="73"/>
      <c r="X4" s="91"/>
      <c r="Y4" s="73"/>
      <c r="Z4" s="91"/>
      <c r="AA4" s="94"/>
      <c r="AB4" s="91">
        <f t="shared" si="0"/>
        <v>0</v>
      </c>
      <c r="AC4" s="73"/>
    </row>
    <row r="5" spans="1:29">
      <c r="A5" s="58"/>
      <c r="B5" s="1" t="s">
        <v>21</v>
      </c>
      <c r="C5" s="61" t="s">
        <v>17</v>
      </c>
      <c r="D5" s="31"/>
      <c r="E5" s="73"/>
      <c r="F5" s="31"/>
      <c r="G5" s="73"/>
      <c r="H5" s="31"/>
      <c r="I5" s="73"/>
      <c r="J5" s="31"/>
      <c r="K5" s="73"/>
      <c r="L5" s="31"/>
      <c r="M5" s="73"/>
      <c r="N5" s="31"/>
      <c r="O5" s="73"/>
      <c r="P5" s="31"/>
      <c r="Q5" s="73"/>
      <c r="R5" s="31"/>
      <c r="S5" s="73"/>
      <c r="T5" s="31"/>
      <c r="U5" s="73"/>
      <c r="V5" s="31"/>
      <c r="W5" s="73"/>
      <c r="X5" s="91"/>
      <c r="Y5" s="73"/>
      <c r="Z5" s="91"/>
      <c r="AA5" s="94"/>
      <c r="AB5" s="91">
        <f t="shared" si="0"/>
        <v>0</v>
      </c>
      <c r="AC5" s="73"/>
    </row>
    <row r="6" spans="1:29">
      <c r="A6" s="58"/>
      <c r="B6" s="62" t="s">
        <v>22</v>
      </c>
      <c r="C6" s="61" t="s">
        <v>17</v>
      </c>
      <c r="D6" s="31">
        <v>9900</v>
      </c>
      <c r="E6" s="73" t="s">
        <v>18</v>
      </c>
      <c r="F6" s="31">
        <v>14300</v>
      </c>
      <c r="G6" s="73" t="s">
        <v>18</v>
      </c>
      <c r="H6" s="31">
        <v>17600</v>
      </c>
      <c r="I6" s="73" t="s">
        <v>18</v>
      </c>
      <c r="J6" s="31"/>
      <c r="K6" s="73"/>
      <c r="L6" s="31"/>
      <c r="M6" s="73"/>
      <c r="N6" s="31"/>
      <c r="O6" s="73"/>
      <c r="P6" s="31"/>
      <c r="Q6" s="73"/>
      <c r="R6" s="31"/>
      <c r="S6" s="73"/>
      <c r="T6" s="31"/>
      <c r="U6" s="73"/>
      <c r="V6" s="31"/>
      <c r="W6" s="73"/>
      <c r="X6" s="91"/>
      <c r="Y6" s="73"/>
      <c r="Z6" s="91"/>
      <c r="AA6" s="94"/>
      <c r="AB6" s="91">
        <f t="shared" si="0"/>
        <v>0</v>
      </c>
      <c r="AC6" s="73"/>
    </row>
    <row r="7" spans="1:29">
      <c r="A7" s="58"/>
      <c r="B7" s="1" t="s">
        <v>23</v>
      </c>
      <c r="C7" s="61" t="s">
        <v>17</v>
      </c>
      <c r="D7" s="31">
        <v>2829112</v>
      </c>
      <c r="E7" s="73" t="s">
        <v>18</v>
      </c>
      <c r="F7" s="31">
        <v>946638</v>
      </c>
      <c r="G7" s="73" t="s">
        <v>18</v>
      </c>
      <c r="H7" s="31">
        <v>3492277</v>
      </c>
      <c r="I7" s="73" t="s">
        <v>18</v>
      </c>
      <c r="J7" s="31">
        <v>3851053</v>
      </c>
      <c r="K7" s="73" t="s">
        <v>18</v>
      </c>
      <c r="L7" s="87"/>
      <c r="M7" s="73"/>
      <c r="N7" s="31"/>
      <c r="O7" s="73"/>
      <c r="P7" s="31"/>
      <c r="Q7" s="73"/>
      <c r="R7" s="31"/>
      <c r="S7" s="73"/>
      <c r="T7" s="31"/>
      <c r="U7" s="73"/>
      <c r="V7" s="31"/>
      <c r="W7" s="73"/>
      <c r="X7" s="91"/>
      <c r="Y7" s="73"/>
      <c r="Z7" s="91"/>
      <c r="AA7" s="94"/>
      <c r="AB7" s="91">
        <f t="shared" si="0"/>
        <v>0</v>
      </c>
      <c r="AC7" s="73"/>
    </row>
    <row r="8" spans="1:29">
      <c r="A8" s="58"/>
      <c r="B8" s="1" t="s">
        <v>24</v>
      </c>
      <c r="C8" s="61" t="s">
        <v>17</v>
      </c>
      <c r="D8" s="31"/>
      <c r="E8" s="73"/>
      <c r="F8" s="31"/>
      <c r="G8" s="73"/>
      <c r="H8" s="31">
        <v>17050</v>
      </c>
      <c r="I8" s="73" t="s">
        <v>18</v>
      </c>
      <c r="J8" s="31"/>
      <c r="K8" s="73"/>
      <c r="L8" s="31"/>
      <c r="M8" s="73"/>
      <c r="N8" s="31"/>
      <c r="O8" s="73"/>
      <c r="P8" s="31"/>
      <c r="Q8" s="73"/>
      <c r="R8" s="31"/>
      <c r="S8" s="73"/>
      <c r="T8" s="31"/>
      <c r="U8" s="73"/>
      <c r="V8" s="31"/>
      <c r="W8" s="73"/>
      <c r="X8" s="91"/>
      <c r="Y8" s="73"/>
      <c r="Z8" s="91"/>
      <c r="AA8" s="94"/>
      <c r="AB8" s="91">
        <f t="shared" si="0"/>
        <v>0</v>
      </c>
      <c r="AC8" s="73"/>
    </row>
    <row r="9" spans="1:29">
      <c r="A9" s="58"/>
      <c r="B9" s="1" t="s">
        <v>25</v>
      </c>
      <c r="C9" s="61" t="s">
        <v>17</v>
      </c>
      <c r="D9" s="31"/>
      <c r="E9" s="73"/>
      <c r="F9" s="31"/>
      <c r="G9" s="73"/>
      <c r="H9" s="31">
        <v>74800</v>
      </c>
      <c r="I9" s="73" t="s">
        <v>18</v>
      </c>
      <c r="J9" s="31"/>
      <c r="K9" s="73"/>
      <c r="L9" s="31"/>
      <c r="M9" s="73"/>
      <c r="N9" s="31"/>
      <c r="O9" s="73"/>
      <c r="P9" s="31"/>
      <c r="Q9" s="73"/>
      <c r="R9" s="31"/>
      <c r="S9" s="73"/>
      <c r="T9" s="31"/>
      <c r="U9" s="73"/>
      <c r="V9" s="31"/>
      <c r="W9" s="73"/>
      <c r="X9" s="91"/>
      <c r="Y9" s="73"/>
      <c r="Z9" s="91"/>
      <c r="AA9" s="94"/>
      <c r="AB9" s="91">
        <f t="shared" si="0"/>
        <v>0</v>
      </c>
      <c r="AC9" s="73"/>
    </row>
    <row r="10" spans="1:29">
      <c r="A10" s="58"/>
      <c r="B10" s="1" t="s">
        <v>26</v>
      </c>
      <c r="C10" s="61" t="s">
        <v>17</v>
      </c>
      <c r="D10" s="31"/>
      <c r="E10" s="73"/>
      <c r="F10" s="31">
        <v>16060</v>
      </c>
      <c r="G10" s="73" t="s">
        <v>18</v>
      </c>
      <c r="H10" s="31">
        <v>8800</v>
      </c>
      <c r="I10" s="73" t="s">
        <v>18</v>
      </c>
      <c r="J10" s="31">
        <v>8800</v>
      </c>
      <c r="K10" s="73" t="s">
        <v>18</v>
      </c>
      <c r="L10" s="31"/>
      <c r="M10" s="73"/>
      <c r="N10" s="31"/>
      <c r="O10" s="73"/>
      <c r="P10" s="31"/>
      <c r="Q10" s="73"/>
      <c r="R10" s="31"/>
      <c r="S10" s="73"/>
      <c r="T10" s="31"/>
      <c r="U10" s="73"/>
      <c r="V10" s="31"/>
      <c r="W10" s="73"/>
      <c r="X10" s="91"/>
      <c r="Y10" s="73"/>
      <c r="Z10" s="91"/>
      <c r="AA10" s="94"/>
      <c r="AB10" s="91">
        <f t="shared" si="0"/>
        <v>0</v>
      </c>
      <c r="AC10" s="73"/>
    </row>
    <row r="11" spans="1:29">
      <c r="A11" s="58"/>
      <c r="B11" s="1" t="s">
        <v>27</v>
      </c>
      <c r="C11" s="61" t="s">
        <v>17</v>
      </c>
      <c r="D11" s="31"/>
      <c r="E11" s="73"/>
      <c r="F11" s="31">
        <v>95920</v>
      </c>
      <c r="G11" s="73" t="s">
        <v>18</v>
      </c>
      <c r="H11" s="31">
        <v>1958165</v>
      </c>
      <c r="I11" s="73" t="s">
        <v>18</v>
      </c>
      <c r="J11" s="31">
        <v>882090</v>
      </c>
      <c r="K11" s="73" t="s">
        <v>18</v>
      </c>
      <c r="L11" s="31"/>
      <c r="M11" s="73"/>
      <c r="N11" s="31"/>
      <c r="O11" s="73"/>
      <c r="P11" s="31"/>
      <c r="Q11" s="73"/>
      <c r="R11" s="31"/>
      <c r="S11" s="73"/>
      <c r="T11" s="31"/>
      <c r="U11" s="73"/>
      <c r="V11" s="31"/>
      <c r="W11" s="73"/>
      <c r="X11" s="91"/>
      <c r="Y11" s="73"/>
      <c r="Z11" s="91"/>
      <c r="AA11" s="94"/>
      <c r="AB11" s="91">
        <f t="shared" si="0"/>
        <v>0</v>
      </c>
      <c r="AC11" s="73"/>
    </row>
    <row r="12" spans="1:29">
      <c r="A12" s="58"/>
      <c r="B12" s="1" t="s">
        <v>28</v>
      </c>
      <c r="C12" s="61" t="s">
        <v>17</v>
      </c>
      <c r="D12" s="31"/>
      <c r="E12" s="73"/>
      <c r="F12" s="31">
        <v>2162600</v>
      </c>
      <c r="G12" s="73" t="s">
        <v>18</v>
      </c>
      <c r="H12" s="31"/>
      <c r="I12" s="73"/>
      <c r="J12" s="31"/>
      <c r="K12" s="73"/>
      <c r="L12" s="31"/>
      <c r="M12" s="73"/>
      <c r="N12" s="31"/>
      <c r="O12" s="73"/>
      <c r="P12" s="31"/>
      <c r="Q12" s="73"/>
      <c r="R12" s="31"/>
      <c r="S12" s="73"/>
      <c r="T12" s="31"/>
      <c r="U12" s="73"/>
      <c r="V12" s="31"/>
      <c r="W12" s="73"/>
      <c r="X12" s="91"/>
      <c r="Y12" s="73"/>
      <c r="Z12" s="91"/>
      <c r="AA12" s="94"/>
      <c r="AB12" s="91">
        <f t="shared" si="0"/>
        <v>0</v>
      </c>
      <c r="AC12" s="73"/>
    </row>
    <row r="13" spans="1:29">
      <c r="A13" s="58"/>
      <c r="B13" s="1" t="s">
        <v>29</v>
      </c>
      <c r="C13" s="67" t="s">
        <v>17</v>
      </c>
      <c r="D13" s="31"/>
      <c r="E13" s="73"/>
      <c r="F13" s="31">
        <v>23650</v>
      </c>
      <c r="G13" s="73" t="s">
        <v>18</v>
      </c>
      <c r="H13" s="31">
        <v>51920</v>
      </c>
      <c r="I13" s="73" t="s">
        <v>18</v>
      </c>
      <c r="J13" s="31">
        <v>104302</v>
      </c>
      <c r="K13" s="73" t="s">
        <v>18</v>
      </c>
      <c r="L13" s="31"/>
      <c r="M13" s="73"/>
      <c r="N13" s="31"/>
      <c r="O13" s="73"/>
      <c r="P13" s="31"/>
      <c r="Q13" s="73"/>
      <c r="R13" s="31"/>
      <c r="S13" s="73"/>
      <c r="T13" s="31"/>
      <c r="U13" s="73"/>
      <c r="V13" s="31"/>
      <c r="W13" s="73"/>
      <c r="X13" s="91"/>
      <c r="Y13" s="73"/>
      <c r="Z13" s="91"/>
      <c r="AA13" s="94"/>
      <c r="AB13" s="91">
        <f t="shared" si="0"/>
        <v>0</v>
      </c>
      <c r="AC13" s="73"/>
    </row>
    <row r="14" spans="1:29">
      <c r="A14" s="58"/>
      <c r="B14" s="1" t="s">
        <v>30</v>
      </c>
      <c r="C14" s="61" t="s">
        <v>17</v>
      </c>
      <c r="D14" s="31">
        <v>27280</v>
      </c>
      <c r="E14" s="73" t="s">
        <v>18</v>
      </c>
      <c r="F14" s="31">
        <v>6519</v>
      </c>
      <c r="G14" s="73" t="s">
        <v>18</v>
      </c>
      <c r="H14" s="31"/>
      <c r="I14" s="73"/>
      <c r="J14" s="31">
        <v>9625</v>
      </c>
      <c r="K14" s="73" t="s">
        <v>18</v>
      </c>
      <c r="L14" s="31"/>
      <c r="M14" s="73"/>
      <c r="N14" s="31"/>
      <c r="O14" s="73"/>
      <c r="P14" s="31"/>
      <c r="Q14" s="73"/>
      <c r="R14" s="31"/>
      <c r="S14" s="73"/>
      <c r="T14" s="31"/>
      <c r="U14" s="73"/>
      <c r="V14" s="31"/>
      <c r="W14" s="73"/>
      <c r="X14" s="91"/>
      <c r="Y14" s="73"/>
      <c r="Z14" s="91"/>
      <c r="AA14" s="94"/>
      <c r="AB14" s="91">
        <f t="shared" si="0"/>
        <v>0</v>
      </c>
      <c r="AC14" s="73"/>
    </row>
    <row r="15" spans="1:29">
      <c r="A15" s="58"/>
      <c r="B15" s="1" t="s">
        <v>31</v>
      </c>
      <c r="C15" s="61" t="s">
        <v>17</v>
      </c>
      <c r="D15" s="31"/>
      <c r="E15" s="73"/>
      <c r="F15" s="31"/>
      <c r="G15" s="73"/>
      <c r="H15" s="31"/>
      <c r="I15" s="73"/>
      <c r="J15" s="31"/>
      <c r="K15" s="73"/>
      <c r="L15" s="31"/>
      <c r="M15" s="73"/>
      <c r="N15" s="31"/>
      <c r="O15" s="73"/>
      <c r="P15" s="31"/>
      <c r="Q15" s="73"/>
      <c r="R15" s="31"/>
      <c r="S15" s="73"/>
      <c r="T15" s="31"/>
      <c r="U15" s="73"/>
      <c r="V15" s="31"/>
      <c r="W15" s="73"/>
      <c r="X15" s="91"/>
      <c r="Y15" s="73"/>
      <c r="Z15" s="91"/>
      <c r="AA15" s="94"/>
      <c r="AB15" s="91">
        <f t="shared" si="0"/>
        <v>0</v>
      </c>
      <c r="AC15" s="73"/>
    </row>
    <row r="16" spans="1:29">
      <c r="A16" s="58"/>
      <c r="B16" s="1" t="s">
        <v>32</v>
      </c>
      <c r="C16" s="61" t="s">
        <v>17</v>
      </c>
      <c r="D16" s="31"/>
      <c r="E16" s="73"/>
      <c r="F16" s="31"/>
      <c r="G16" s="73"/>
      <c r="H16" s="31"/>
      <c r="I16" s="73"/>
      <c r="J16" s="31">
        <v>159500</v>
      </c>
      <c r="K16" s="73" t="s">
        <v>18</v>
      </c>
      <c r="L16" s="31"/>
      <c r="M16" s="73"/>
      <c r="N16" s="31"/>
      <c r="O16" s="73"/>
      <c r="P16" s="31"/>
      <c r="Q16" s="73"/>
      <c r="R16" s="31"/>
      <c r="S16" s="73"/>
      <c r="T16" s="31"/>
      <c r="U16" s="73"/>
      <c r="V16" s="31"/>
      <c r="W16" s="73"/>
      <c r="X16" s="91"/>
      <c r="Y16" s="73"/>
      <c r="Z16" s="91"/>
      <c r="AA16" s="94"/>
      <c r="AB16" s="91">
        <f t="shared" si="0"/>
        <v>0</v>
      </c>
      <c r="AC16" s="73"/>
    </row>
    <row r="17" spans="1:29">
      <c r="A17" s="58"/>
      <c r="B17" s="1" t="s">
        <v>33</v>
      </c>
      <c r="C17" s="61" t="s">
        <v>17</v>
      </c>
      <c r="D17" s="31"/>
      <c r="E17" s="73"/>
      <c r="F17" s="31">
        <v>250800</v>
      </c>
      <c r="G17" s="73" t="s">
        <v>18</v>
      </c>
      <c r="H17" s="31"/>
      <c r="I17" s="73"/>
      <c r="J17" s="31">
        <v>250800</v>
      </c>
      <c r="K17" s="73" t="s">
        <v>18</v>
      </c>
      <c r="L17" s="31"/>
      <c r="M17" s="73"/>
      <c r="N17" s="31"/>
      <c r="O17" s="73"/>
      <c r="P17" s="31"/>
      <c r="Q17" s="73"/>
      <c r="R17" s="31"/>
      <c r="S17" s="73"/>
      <c r="T17" s="31"/>
      <c r="U17" s="73"/>
      <c r="V17" s="31"/>
      <c r="W17" s="73"/>
      <c r="X17" s="91"/>
      <c r="Y17" s="73"/>
      <c r="Z17" s="91"/>
      <c r="AA17" s="94"/>
      <c r="AB17" s="91">
        <f t="shared" si="0"/>
        <v>0</v>
      </c>
      <c r="AC17" s="73"/>
    </row>
    <row r="18" spans="1:29">
      <c r="A18" s="58"/>
      <c r="B18" s="1" t="s">
        <v>34</v>
      </c>
      <c r="C18" s="61" t="s">
        <v>17</v>
      </c>
      <c r="D18" s="31"/>
      <c r="E18" s="73"/>
      <c r="F18" s="31"/>
      <c r="G18" s="73"/>
      <c r="H18" s="31"/>
      <c r="I18" s="73"/>
      <c r="J18" s="31">
        <v>11000</v>
      </c>
      <c r="K18" s="73" t="s">
        <v>18</v>
      </c>
      <c r="L18" s="31"/>
      <c r="M18" s="73"/>
      <c r="N18" s="31"/>
      <c r="O18" s="73"/>
      <c r="P18" s="31"/>
      <c r="Q18" s="73"/>
      <c r="R18" s="31"/>
      <c r="S18" s="73"/>
      <c r="T18" s="31"/>
      <c r="U18" s="73"/>
      <c r="V18" s="31"/>
      <c r="W18" s="73"/>
      <c r="X18" s="91"/>
      <c r="Y18" s="73"/>
      <c r="Z18" s="91"/>
      <c r="AA18" s="94"/>
      <c r="AB18" s="91">
        <f t="shared" si="0"/>
        <v>0</v>
      </c>
      <c r="AC18" s="73"/>
    </row>
    <row r="19" spans="1:29">
      <c r="A19" s="58"/>
      <c r="B19" s="1" t="s">
        <v>35</v>
      </c>
      <c r="C19" s="61" t="s">
        <v>17</v>
      </c>
      <c r="D19" s="31">
        <v>74800</v>
      </c>
      <c r="E19" s="73" t="s">
        <v>18</v>
      </c>
      <c r="F19" s="31"/>
      <c r="G19" s="73"/>
      <c r="H19" s="31">
        <v>124300</v>
      </c>
      <c r="I19" s="73" t="s">
        <v>18</v>
      </c>
      <c r="J19" s="31">
        <v>1452000</v>
      </c>
      <c r="K19" s="73" t="s">
        <v>18</v>
      </c>
      <c r="L19" s="31"/>
      <c r="M19" s="73"/>
      <c r="N19" s="31"/>
      <c r="O19" s="73"/>
      <c r="P19" s="31"/>
      <c r="Q19" s="73"/>
      <c r="R19" s="31"/>
      <c r="S19" s="73"/>
      <c r="T19" s="31"/>
      <c r="U19" s="73"/>
      <c r="V19" s="31"/>
      <c r="W19" s="73"/>
      <c r="X19" s="91"/>
      <c r="Y19" s="73"/>
      <c r="Z19" s="91"/>
      <c r="AA19" s="94"/>
      <c r="AB19" s="91">
        <f t="shared" si="0"/>
        <v>0</v>
      </c>
      <c r="AC19" s="73"/>
    </row>
    <row r="20" spans="1:29">
      <c r="A20" s="58"/>
      <c r="B20" s="1" t="s">
        <v>36</v>
      </c>
      <c r="C20" s="61" t="s">
        <v>17</v>
      </c>
      <c r="D20" s="31">
        <v>40108</v>
      </c>
      <c r="E20" s="73" t="s">
        <v>18</v>
      </c>
      <c r="F20" s="31"/>
      <c r="G20" s="73"/>
      <c r="H20" s="31">
        <v>7700</v>
      </c>
      <c r="I20" s="73" t="s">
        <v>18</v>
      </c>
      <c r="J20" s="31"/>
      <c r="K20" s="73"/>
      <c r="L20" s="31"/>
      <c r="M20" s="73"/>
      <c r="N20" s="31"/>
      <c r="O20" s="73"/>
      <c r="P20" s="31"/>
      <c r="Q20" s="73"/>
      <c r="R20" s="31"/>
      <c r="S20" s="73"/>
      <c r="T20" s="31"/>
      <c r="U20" s="73"/>
      <c r="V20" s="31"/>
      <c r="W20" s="73"/>
      <c r="X20" s="91"/>
      <c r="Y20" s="73"/>
      <c r="Z20" s="91"/>
      <c r="AA20" s="94"/>
      <c r="AB20" s="91">
        <f t="shared" si="0"/>
        <v>0</v>
      </c>
      <c r="AC20" s="73"/>
    </row>
    <row r="21" spans="1:29">
      <c r="A21" s="58"/>
      <c r="B21" s="47" t="s">
        <v>37</v>
      </c>
      <c r="C21" s="61" t="s">
        <v>17</v>
      </c>
      <c r="D21" s="31"/>
      <c r="E21" s="73"/>
      <c r="F21" s="31"/>
      <c r="G21" s="73"/>
      <c r="H21" s="31"/>
      <c r="I21" s="73"/>
      <c r="J21" s="31">
        <v>137000</v>
      </c>
      <c r="K21" s="73" t="s">
        <v>18</v>
      </c>
      <c r="L21" s="31"/>
      <c r="M21" s="73"/>
      <c r="N21" s="31"/>
      <c r="O21" s="73"/>
      <c r="P21" s="31"/>
      <c r="Q21" s="73"/>
      <c r="R21" s="31"/>
      <c r="S21" s="73"/>
      <c r="T21" s="31"/>
      <c r="U21" s="73"/>
      <c r="V21" s="31"/>
      <c r="W21" s="73"/>
      <c r="X21" s="91"/>
      <c r="Y21" s="73"/>
      <c r="Z21" s="91"/>
      <c r="AA21" s="94"/>
      <c r="AB21" s="91">
        <f t="shared" si="0"/>
        <v>0</v>
      </c>
      <c r="AC21" s="73"/>
    </row>
    <row r="22" spans="1:29">
      <c r="A22" s="58"/>
      <c r="B22" s="1" t="s">
        <v>38</v>
      </c>
      <c r="C22" s="61" t="s">
        <v>17</v>
      </c>
      <c r="D22" s="31"/>
      <c r="E22" s="73"/>
      <c r="F22" s="31"/>
      <c r="G22" s="73"/>
      <c r="H22" s="31"/>
      <c r="I22" s="73"/>
      <c r="J22" s="31"/>
      <c r="K22" s="73"/>
      <c r="L22" s="31"/>
      <c r="M22" s="73"/>
      <c r="N22" s="31"/>
      <c r="O22" s="73"/>
      <c r="P22" s="31"/>
      <c r="Q22" s="73"/>
      <c r="R22" s="31"/>
      <c r="S22" s="73"/>
      <c r="T22" s="31"/>
      <c r="U22" s="73"/>
      <c r="V22" s="31"/>
      <c r="W22" s="73"/>
      <c r="X22" s="91"/>
      <c r="Y22" s="73"/>
      <c r="Z22" s="91"/>
      <c r="AA22" s="94"/>
      <c r="AB22" s="91">
        <f t="shared" si="0"/>
        <v>0</v>
      </c>
      <c r="AC22" s="73"/>
    </row>
    <row r="23" spans="1:29">
      <c r="A23" s="58"/>
      <c r="B23" s="1" t="s">
        <v>39</v>
      </c>
      <c r="C23" s="66" t="s">
        <v>40</v>
      </c>
      <c r="D23" s="31"/>
      <c r="E23" s="73"/>
      <c r="F23" s="31">
        <v>48400</v>
      </c>
      <c r="G23" s="73" t="s">
        <v>18</v>
      </c>
      <c r="H23" s="31"/>
      <c r="I23" s="73"/>
      <c r="J23" s="31"/>
      <c r="K23" s="73"/>
      <c r="L23" s="31"/>
      <c r="M23" s="73"/>
      <c r="N23" s="31"/>
      <c r="O23" s="73"/>
      <c r="P23" s="31"/>
      <c r="Q23" s="73"/>
      <c r="R23" s="31"/>
      <c r="S23" s="73"/>
      <c r="T23" s="31"/>
      <c r="U23" s="73"/>
      <c r="V23" s="31"/>
      <c r="W23" s="73"/>
      <c r="X23" s="91"/>
      <c r="Y23" s="73"/>
      <c r="Z23" s="91"/>
      <c r="AA23" s="94"/>
      <c r="AB23" s="91">
        <f t="shared" si="0"/>
        <v>0</v>
      </c>
      <c r="AC23" s="73"/>
    </row>
    <row r="24" spans="1:29">
      <c r="A24" s="58"/>
      <c r="B24" s="1" t="s">
        <v>41</v>
      </c>
      <c r="C24" s="61" t="s">
        <v>17</v>
      </c>
      <c r="D24" s="31">
        <v>80494</v>
      </c>
      <c r="E24" s="73" t="s">
        <v>18</v>
      </c>
      <c r="F24" s="31"/>
      <c r="G24" s="73"/>
      <c r="H24" s="31">
        <v>412500</v>
      </c>
      <c r="I24" s="73" t="s">
        <v>18</v>
      </c>
      <c r="J24" s="31">
        <v>165000</v>
      </c>
      <c r="K24" s="73" t="s">
        <v>18</v>
      </c>
      <c r="L24" s="31"/>
      <c r="M24" s="73"/>
      <c r="N24" s="31"/>
      <c r="O24" s="73"/>
      <c r="P24" s="31"/>
      <c r="Q24" s="73"/>
      <c r="R24" s="31"/>
      <c r="S24" s="73"/>
      <c r="T24" s="31"/>
      <c r="U24" s="73"/>
      <c r="V24" s="31"/>
      <c r="W24" s="73"/>
      <c r="X24" s="91"/>
      <c r="Y24" s="73"/>
      <c r="Z24" s="91"/>
      <c r="AA24" s="94"/>
      <c r="AB24" s="91">
        <f t="shared" si="0"/>
        <v>0</v>
      </c>
      <c r="AC24" s="73"/>
    </row>
    <row r="25" spans="1:29">
      <c r="A25" s="58"/>
      <c r="B25" s="1" t="s">
        <v>42</v>
      </c>
      <c r="C25" s="61" t="s">
        <v>17</v>
      </c>
      <c r="D25" s="31"/>
      <c r="E25" s="73"/>
      <c r="F25" s="31"/>
      <c r="G25" s="73"/>
      <c r="H25" s="31"/>
      <c r="I25" s="73"/>
      <c r="J25" s="31"/>
      <c r="K25" s="73"/>
      <c r="L25" s="31"/>
      <c r="M25" s="73"/>
      <c r="N25" s="31"/>
      <c r="O25" s="73"/>
      <c r="P25" s="31"/>
      <c r="Q25" s="73"/>
      <c r="R25" s="31"/>
      <c r="S25" s="73"/>
      <c r="T25" s="31"/>
      <c r="U25" s="73"/>
      <c r="V25" s="31"/>
      <c r="W25" s="73"/>
      <c r="X25" s="91"/>
      <c r="Y25" s="73"/>
      <c r="Z25" s="91"/>
      <c r="AA25" s="94"/>
      <c r="AB25" s="91">
        <f t="shared" si="0"/>
        <v>0</v>
      </c>
      <c r="AC25" s="73"/>
    </row>
    <row r="26" spans="1:29">
      <c r="A26" s="58"/>
      <c r="B26" s="1" t="s">
        <v>43</v>
      </c>
      <c r="C26" s="61" t="s">
        <v>17</v>
      </c>
      <c r="D26" s="31">
        <v>16500</v>
      </c>
      <c r="E26" s="73" t="s">
        <v>18</v>
      </c>
      <c r="F26" s="31"/>
      <c r="G26" s="73"/>
      <c r="H26" s="31"/>
      <c r="I26" s="73"/>
      <c r="J26" s="31">
        <v>98670</v>
      </c>
      <c r="K26" s="73" t="s">
        <v>18</v>
      </c>
      <c r="L26" s="31"/>
      <c r="M26" s="73"/>
      <c r="N26" s="31"/>
      <c r="O26" s="73"/>
      <c r="P26" s="31"/>
      <c r="Q26" s="73"/>
      <c r="R26" s="31"/>
      <c r="S26" s="73"/>
      <c r="T26" s="31"/>
      <c r="U26" s="73"/>
      <c r="V26" s="31"/>
      <c r="W26" s="73"/>
      <c r="X26" s="91"/>
      <c r="Y26" s="73"/>
      <c r="Z26" s="91"/>
      <c r="AA26" s="94"/>
      <c r="AB26" s="91">
        <f t="shared" si="0"/>
        <v>0</v>
      </c>
      <c r="AC26" s="73"/>
    </row>
    <row r="27" spans="1:29">
      <c r="A27" s="58"/>
      <c r="B27" s="1" t="s">
        <v>44</v>
      </c>
      <c r="C27" s="61" t="s">
        <v>17</v>
      </c>
      <c r="D27" s="75"/>
      <c r="E27" s="74"/>
      <c r="F27" s="31">
        <v>124300</v>
      </c>
      <c r="G27" s="73" t="s">
        <v>18</v>
      </c>
      <c r="H27" s="31">
        <v>140800</v>
      </c>
      <c r="I27" s="73" t="s">
        <v>18</v>
      </c>
      <c r="J27" s="31"/>
      <c r="K27" s="73"/>
      <c r="L27" s="31"/>
      <c r="M27" s="73"/>
      <c r="N27" s="31"/>
      <c r="O27" s="73"/>
      <c r="P27" s="31"/>
      <c r="Q27" s="73"/>
      <c r="R27" s="31"/>
      <c r="S27" s="73"/>
      <c r="T27" s="31"/>
      <c r="U27" s="73"/>
      <c r="V27" s="31"/>
      <c r="W27" s="73"/>
      <c r="X27" s="91"/>
      <c r="Y27" s="73"/>
      <c r="Z27" s="91"/>
      <c r="AA27" s="94"/>
      <c r="AB27" s="91">
        <f t="shared" si="0"/>
        <v>0</v>
      </c>
      <c r="AC27" s="73"/>
    </row>
    <row r="28" spans="1:29">
      <c r="A28" s="58"/>
      <c r="B28" s="1" t="s">
        <v>45</v>
      </c>
      <c r="C28" s="61" t="s">
        <v>17</v>
      </c>
      <c r="D28" s="75"/>
      <c r="E28" s="74"/>
      <c r="F28" s="31">
        <v>19800</v>
      </c>
      <c r="G28" s="73" t="s">
        <v>18</v>
      </c>
      <c r="H28" s="31">
        <v>693000</v>
      </c>
      <c r="I28" s="73" t="s">
        <v>18</v>
      </c>
      <c r="J28" s="31"/>
      <c r="K28" s="73"/>
      <c r="L28" s="31"/>
      <c r="M28" s="73"/>
      <c r="N28" s="31"/>
      <c r="O28" s="73"/>
      <c r="P28" s="31"/>
      <c r="Q28" s="73"/>
      <c r="R28" s="31"/>
      <c r="S28" s="73"/>
      <c r="T28" s="31"/>
      <c r="U28" s="73"/>
      <c r="V28" s="31"/>
      <c r="W28" s="73"/>
      <c r="X28" s="91"/>
      <c r="Y28" s="73"/>
      <c r="Z28" s="91"/>
      <c r="AA28" s="94"/>
      <c r="AB28" s="91">
        <f t="shared" si="0"/>
        <v>0</v>
      </c>
      <c r="AC28" s="73"/>
    </row>
    <row r="29" spans="1:29">
      <c r="A29" s="58"/>
      <c r="B29" s="1" t="s">
        <v>46</v>
      </c>
      <c r="C29" s="61" t="s">
        <v>17</v>
      </c>
      <c r="D29" s="31">
        <v>45022</v>
      </c>
      <c r="E29" s="73" t="s">
        <v>18</v>
      </c>
      <c r="F29" s="31"/>
      <c r="G29" s="73"/>
      <c r="H29" s="31">
        <v>167571</v>
      </c>
      <c r="I29" s="73" t="s">
        <v>18</v>
      </c>
      <c r="J29" s="31">
        <v>100054</v>
      </c>
      <c r="K29" s="73" t="s">
        <v>18</v>
      </c>
      <c r="L29" s="31"/>
      <c r="M29" s="73"/>
      <c r="N29" s="31"/>
      <c r="O29" s="73"/>
      <c r="P29" s="31"/>
      <c r="Q29" s="73"/>
      <c r="R29" s="31"/>
      <c r="S29" s="73"/>
      <c r="T29" s="31"/>
      <c r="U29" s="73"/>
      <c r="V29" s="31"/>
      <c r="W29" s="73"/>
      <c r="X29" s="91"/>
      <c r="Y29" s="73"/>
      <c r="Z29" s="91"/>
      <c r="AA29" s="94"/>
      <c r="AB29" s="91">
        <f t="shared" si="0"/>
        <v>0</v>
      </c>
      <c r="AC29" s="73"/>
    </row>
    <row r="30" spans="1:29">
      <c r="A30" s="58"/>
      <c r="B30" s="1" t="s">
        <v>47</v>
      </c>
      <c r="C30" s="61" t="s">
        <v>17</v>
      </c>
      <c r="D30" s="31">
        <v>25300</v>
      </c>
      <c r="E30" s="73" t="s">
        <v>18</v>
      </c>
      <c r="F30" s="31"/>
      <c r="G30" s="73"/>
      <c r="H30" s="31"/>
      <c r="I30" s="73"/>
      <c r="J30" s="31">
        <v>685300</v>
      </c>
      <c r="K30" s="73" t="s">
        <v>18</v>
      </c>
      <c r="L30" s="31"/>
      <c r="M30" s="73"/>
      <c r="N30" s="31"/>
      <c r="O30" s="73"/>
      <c r="P30" s="31"/>
      <c r="Q30" s="73"/>
      <c r="R30" s="31"/>
      <c r="S30" s="73"/>
      <c r="T30" s="31"/>
      <c r="U30" s="73"/>
      <c r="V30" s="31"/>
      <c r="W30" s="73"/>
      <c r="X30" s="91"/>
      <c r="Y30" s="73"/>
      <c r="Z30" s="91"/>
      <c r="AA30" s="94"/>
      <c r="AB30" s="91">
        <f t="shared" si="0"/>
        <v>0</v>
      </c>
      <c r="AC30" s="73"/>
    </row>
    <row r="31" spans="1:29">
      <c r="A31" s="58"/>
      <c r="B31" s="1" t="s">
        <v>48</v>
      </c>
      <c r="C31" s="61" t="s">
        <v>17</v>
      </c>
      <c r="D31" s="31">
        <v>55000</v>
      </c>
      <c r="E31" s="73" t="s">
        <v>18</v>
      </c>
      <c r="F31" s="31"/>
      <c r="G31" s="73"/>
      <c r="H31" s="31"/>
      <c r="I31" s="73"/>
      <c r="J31" s="31"/>
      <c r="K31" s="73"/>
      <c r="L31" s="31"/>
      <c r="M31" s="73"/>
      <c r="N31" s="31"/>
      <c r="O31" s="73"/>
      <c r="P31" s="31"/>
      <c r="Q31" s="73"/>
      <c r="R31" s="31"/>
      <c r="S31" s="73"/>
      <c r="T31" s="31"/>
      <c r="U31" s="73"/>
      <c r="V31" s="31"/>
      <c r="W31" s="73"/>
      <c r="X31" s="91"/>
      <c r="Y31" s="73"/>
      <c r="Z31" s="91"/>
      <c r="AA31" s="94"/>
      <c r="AB31" s="91">
        <f t="shared" si="0"/>
        <v>0</v>
      </c>
      <c r="AC31" s="73"/>
    </row>
    <row r="32" spans="1:29">
      <c r="A32" s="58"/>
      <c r="B32" s="1" t="s">
        <v>49</v>
      </c>
      <c r="C32" s="61" t="s">
        <v>17</v>
      </c>
      <c r="D32" s="31">
        <v>56700</v>
      </c>
      <c r="E32" s="73" t="s">
        <v>18</v>
      </c>
      <c r="F32" s="31"/>
      <c r="G32" s="73"/>
      <c r="H32" s="31"/>
      <c r="I32" s="73"/>
      <c r="J32" s="31"/>
      <c r="K32" s="73"/>
      <c r="L32" s="31"/>
      <c r="M32" s="73"/>
      <c r="N32" s="31"/>
      <c r="O32" s="73"/>
      <c r="P32" s="31"/>
      <c r="Q32" s="73"/>
      <c r="R32" s="31"/>
      <c r="S32" s="73"/>
      <c r="T32" s="31"/>
      <c r="U32" s="73"/>
      <c r="V32" s="31"/>
      <c r="W32" s="73"/>
      <c r="X32" s="91"/>
      <c r="Y32" s="73"/>
      <c r="Z32" s="91"/>
      <c r="AA32" s="94"/>
      <c r="AB32" s="91">
        <f t="shared" si="0"/>
        <v>0</v>
      </c>
      <c r="AC32" s="73"/>
    </row>
    <row r="33" spans="1:29">
      <c r="A33" s="58"/>
      <c r="B33" s="1" t="s">
        <v>50</v>
      </c>
      <c r="C33" s="61" t="s">
        <v>17</v>
      </c>
      <c r="D33" s="31">
        <v>135000</v>
      </c>
      <c r="E33" s="73" t="s">
        <v>18</v>
      </c>
      <c r="F33" s="31"/>
      <c r="G33" s="73"/>
      <c r="H33" s="31"/>
      <c r="I33" s="73"/>
      <c r="J33" s="31">
        <v>107000</v>
      </c>
      <c r="K33" s="73" t="s">
        <v>18</v>
      </c>
      <c r="L33" s="31"/>
      <c r="M33" s="73"/>
      <c r="N33" s="31"/>
      <c r="O33" s="73"/>
      <c r="P33" s="31"/>
      <c r="Q33" s="73"/>
      <c r="R33" s="31"/>
      <c r="S33" s="73"/>
      <c r="T33" s="31"/>
      <c r="U33" s="73"/>
      <c r="V33" s="31"/>
      <c r="W33" s="73"/>
      <c r="X33" s="91"/>
      <c r="Y33" s="73"/>
      <c r="Z33" s="91"/>
      <c r="AA33" s="94"/>
      <c r="AB33" s="91">
        <f t="shared" si="0"/>
        <v>0</v>
      </c>
      <c r="AC33" s="73"/>
    </row>
    <row r="34" spans="1:29">
      <c r="A34" s="58"/>
      <c r="B34" s="1"/>
      <c r="C34" s="47"/>
      <c r="D34" s="75"/>
      <c r="E34" s="74"/>
      <c r="F34" s="31"/>
      <c r="G34" s="73"/>
      <c r="H34" s="31"/>
      <c r="I34" s="73"/>
      <c r="J34" s="84" t="s">
        <v>51</v>
      </c>
      <c r="K34" s="73"/>
      <c r="L34" s="31"/>
      <c r="M34" s="73"/>
      <c r="N34" s="31"/>
      <c r="O34" s="73"/>
      <c r="P34" s="31"/>
      <c r="Q34" s="73"/>
      <c r="R34" s="31"/>
      <c r="S34" s="73"/>
      <c r="T34" s="31"/>
      <c r="U34" s="73"/>
      <c r="V34" s="31"/>
      <c r="W34" s="73"/>
      <c r="X34" s="91"/>
      <c r="Y34" s="73"/>
      <c r="Z34" s="91"/>
      <c r="AA34" s="94"/>
      <c r="AB34" s="91">
        <f t="shared" si="0"/>
        <v>0</v>
      </c>
      <c r="AC34" s="73"/>
    </row>
    <row r="35" spans="1:29">
      <c r="A35" s="58"/>
      <c r="B35" s="1"/>
      <c r="C35" s="47"/>
      <c r="D35" s="31"/>
      <c r="E35" s="73"/>
      <c r="F35" s="31"/>
      <c r="G35" s="73"/>
      <c r="H35" s="31"/>
      <c r="I35" s="73"/>
      <c r="J35" s="80">
        <v>123200</v>
      </c>
      <c r="K35" s="73" t="s">
        <v>18</v>
      </c>
      <c r="L35" s="31"/>
      <c r="M35" s="73"/>
      <c r="N35" s="31"/>
      <c r="O35" s="73"/>
      <c r="P35" s="31"/>
      <c r="Q35" s="73"/>
      <c r="R35" s="31"/>
      <c r="S35" s="73"/>
      <c r="T35" s="31"/>
      <c r="U35" s="73"/>
      <c r="V35" s="31"/>
      <c r="W35" s="73"/>
      <c r="X35" s="91"/>
      <c r="Y35" s="73"/>
      <c r="Z35" s="91"/>
      <c r="AA35" s="94"/>
      <c r="AB35" s="91">
        <f t="shared" si="0"/>
        <v>0</v>
      </c>
      <c r="AC35" s="73"/>
    </row>
    <row r="36" spans="1:29">
      <c r="A36" s="58"/>
      <c r="B36" s="1"/>
      <c r="C36" s="47"/>
      <c r="D36" s="75"/>
      <c r="E36" s="74"/>
      <c r="F36" s="31"/>
      <c r="G36" s="73"/>
      <c r="H36" s="31"/>
      <c r="I36" s="73"/>
      <c r="J36" s="84" t="s">
        <v>52</v>
      </c>
      <c r="K36" s="73"/>
      <c r="L36" s="31"/>
      <c r="M36" s="73"/>
      <c r="N36" s="31"/>
      <c r="O36" s="73"/>
      <c r="P36" s="31"/>
      <c r="Q36" s="73"/>
      <c r="R36" s="31"/>
      <c r="S36" s="73"/>
      <c r="T36" s="31"/>
      <c r="U36" s="73"/>
      <c r="V36" s="31"/>
      <c r="W36" s="73"/>
      <c r="X36" s="91"/>
      <c r="Y36" s="73"/>
      <c r="Z36" s="91"/>
      <c r="AA36" s="94"/>
      <c r="AB36" s="91">
        <f t="shared" si="0"/>
        <v>0</v>
      </c>
      <c r="AC36" s="73"/>
    </row>
    <row r="37" spans="1:29">
      <c r="A37" s="58"/>
      <c r="B37" s="1"/>
      <c r="C37" s="47"/>
      <c r="D37" s="75"/>
      <c r="E37" s="74"/>
      <c r="F37" s="31"/>
      <c r="G37" s="73"/>
      <c r="H37" s="31"/>
      <c r="I37" s="73"/>
      <c r="J37" s="80">
        <v>13200</v>
      </c>
      <c r="K37" s="73" t="s">
        <v>18</v>
      </c>
      <c r="L37" s="31"/>
      <c r="M37" s="73"/>
      <c r="N37" s="31"/>
      <c r="O37" s="73"/>
      <c r="P37" s="31"/>
      <c r="Q37" s="73"/>
      <c r="R37" s="31"/>
      <c r="S37" s="73"/>
      <c r="T37" s="31"/>
      <c r="U37" s="73"/>
      <c r="V37" s="31"/>
      <c r="W37" s="73"/>
      <c r="X37" s="91"/>
      <c r="Y37" s="73"/>
      <c r="Z37" s="91"/>
      <c r="AA37" s="94"/>
      <c r="AB37" s="91">
        <f t="shared" si="0"/>
        <v>0</v>
      </c>
      <c r="AC37" s="73"/>
    </row>
    <row r="38" spans="1:29">
      <c r="A38" s="58"/>
      <c r="B38" s="1"/>
      <c r="C38" s="47"/>
      <c r="D38" s="31"/>
      <c r="E38" s="73"/>
      <c r="F38" s="31"/>
      <c r="G38" s="73"/>
      <c r="H38" s="31"/>
      <c r="I38" s="73"/>
      <c r="J38" s="85" t="s">
        <v>53</v>
      </c>
      <c r="K38" s="73"/>
      <c r="L38" s="31"/>
      <c r="M38" s="73"/>
      <c r="N38" s="31"/>
      <c r="O38" s="73"/>
      <c r="P38" s="31"/>
      <c r="Q38" s="73"/>
      <c r="R38" s="31"/>
      <c r="S38" s="73"/>
      <c r="T38" s="31"/>
      <c r="U38" s="73"/>
      <c r="V38" s="31"/>
      <c r="W38" s="73"/>
      <c r="X38" s="91"/>
      <c r="Y38" s="73"/>
      <c r="Z38" s="91"/>
      <c r="AA38" s="94"/>
      <c r="AB38" s="91"/>
      <c r="AC38" s="73"/>
    </row>
    <row r="39" spans="1:29">
      <c r="A39" s="58"/>
      <c r="B39" s="1"/>
      <c r="C39" s="47"/>
      <c r="D39" s="31"/>
      <c r="E39" s="73"/>
      <c r="F39" s="31"/>
      <c r="G39" s="73"/>
      <c r="H39" s="31"/>
      <c r="I39" s="73"/>
      <c r="J39" s="80">
        <v>504900</v>
      </c>
      <c r="K39" s="73" t="s">
        <v>18</v>
      </c>
      <c r="L39" s="31"/>
      <c r="M39" s="73"/>
      <c r="N39" s="31"/>
      <c r="O39" s="73"/>
      <c r="P39" s="31"/>
      <c r="Q39" s="73"/>
      <c r="R39" s="31"/>
      <c r="S39" s="73"/>
      <c r="T39" s="31"/>
      <c r="U39" s="73"/>
      <c r="V39" s="31"/>
      <c r="W39" s="73"/>
      <c r="X39" s="91"/>
      <c r="Y39" s="73"/>
      <c r="Z39" s="91"/>
      <c r="AA39" s="94"/>
      <c r="AB39" s="91">
        <f t="shared" si="0"/>
        <v>0</v>
      </c>
      <c r="AC39" s="73"/>
    </row>
    <row r="40" spans="1:29">
      <c r="A40" s="102" t="s">
        <v>54</v>
      </c>
      <c r="B40" s="1" t="s">
        <v>55</v>
      </c>
      <c r="C40" s="47" t="s">
        <v>17</v>
      </c>
      <c r="D40" s="31"/>
      <c r="E40" s="73"/>
      <c r="F40" s="31"/>
      <c r="G40" s="73"/>
      <c r="H40" s="31">
        <v>140000</v>
      </c>
      <c r="I40" s="73" t="s">
        <v>18</v>
      </c>
      <c r="J40" s="31"/>
      <c r="K40" s="73"/>
      <c r="L40" s="31"/>
      <c r="M40" s="73"/>
      <c r="N40" s="31"/>
      <c r="O40" s="73"/>
      <c r="P40" s="31"/>
      <c r="Q40" s="73"/>
      <c r="R40" s="31"/>
      <c r="S40" s="73"/>
      <c r="T40" s="31"/>
      <c r="U40" s="73"/>
      <c r="V40" s="31"/>
      <c r="W40" s="73"/>
      <c r="X40" s="91"/>
      <c r="Y40" s="73"/>
      <c r="Z40" s="91"/>
      <c r="AA40" s="94"/>
      <c r="AB40" s="91">
        <f t="shared" si="0"/>
        <v>0</v>
      </c>
      <c r="AC40" s="73"/>
    </row>
    <row r="41" spans="1:29">
      <c r="A41" s="102"/>
      <c r="B41" s="1" t="s">
        <v>56</v>
      </c>
      <c r="C41" s="65" t="s">
        <v>40</v>
      </c>
      <c r="D41" s="75"/>
      <c r="E41" s="74"/>
      <c r="F41" s="31">
        <v>4400</v>
      </c>
      <c r="G41" s="73" t="s">
        <v>18</v>
      </c>
      <c r="H41" s="31">
        <v>2095</v>
      </c>
      <c r="I41" s="73" t="s">
        <v>18</v>
      </c>
      <c r="J41" s="31"/>
      <c r="K41" s="73"/>
      <c r="L41" s="31"/>
      <c r="M41" s="73"/>
      <c r="N41" s="31"/>
      <c r="O41" s="73"/>
      <c r="P41" s="31"/>
      <c r="Q41" s="73"/>
      <c r="R41" s="31"/>
      <c r="S41" s="73"/>
      <c r="T41" s="31"/>
      <c r="U41" s="73"/>
      <c r="V41" s="31"/>
      <c r="W41" s="73"/>
      <c r="X41" s="91"/>
      <c r="Y41" s="73"/>
      <c r="Z41" s="91"/>
      <c r="AA41" s="94"/>
      <c r="AB41" s="91">
        <f t="shared" si="0"/>
        <v>0</v>
      </c>
      <c r="AC41" s="73"/>
    </row>
    <row r="42" spans="1:29">
      <c r="A42" s="102"/>
      <c r="B42" s="1" t="s">
        <v>57</v>
      </c>
      <c r="C42" s="47" t="s">
        <v>17</v>
      </c>
      <c r="D42" s="31">
        <v>27500</v>
      </c>
      <c r="E42" s="73" t="s">
        <v>18</v>
      </c>
      <c r="F42" s="31"/>
      <c r="G42" s="73"/>
      <c r="H42" s="31"/>
      <c r="I42" s="73"/>
      <c r="J42" s="31"/>
      <c r="K42" s="73"/>
      <c r="L42" s="31"/>
      <c r="M42" s="73"/>
      <c r="N42" s="31"/>
      <c r="O42" s="73"/>
      <c r="P42" s="31"/>
      <c r="Q42" s="73"/>
      <c r="R42" s="31"/>
      <c r="S42" s="73"/>
      <c r="T42" s="31"/>
      <c r="U42" s="73"/>
      <c r="V42" s="31"/>
      <c r="W42" s="73"/>
      <c r="X42" s="91"/>
      <c r="Y42" s="73"/>
      <c r="Z42" s="91"/>
      <c r="AA42" s="94"/>
      <c r="AB42" s="91">
        <f t="shared" si="0"/>
        <v>0</v>
      </c>
      <c r="AC42" s="73"/>
    </row>
    <row r="43" spans="1:29">
      <c r="A43" s="102"/>
      <c r="B43" s="1" t="s">
        <v>58</v>
      </c>
      <c r="C43" s="47" t="s">
        <v>17</v>
      </c>
      <c r="D43" s="31"/>
      <c r="E43" s="73"/>
      <c r="F43" s="31"/>
      <c r="G43" s="73"/>
      <c r="H43" s="31"/>
      <c r="I43" s="73"/>
      <c r="J43" s="31"/>
      <c r="K43" s="73"/>
      <c r="L43" s="31"/>
      <c r="M43" s="73"/>
      <c r="N43" s="31"/>
      <c r="O43" s="73"/>
      <c r="P43" s="31"/>
      <c r="Q43" s="73"/>
      <c r="R43" s="31"/>
      <c r="S43" s="73"/>
      <c r="T43" s="31"/>
      <c r="U43" s="73"/>
      <c r="V43" s="31"/>
      <c r="W43" s="73"/>
      <c r="X43" s="91"/>
      <c r="Y43" s="73"/>
      <c r="Z43" s="91"/>
      <c r="AA43" s="94"/>
      <c r="AB43" s="91">
        <f t="shared" si="0"/>
        <v>0</v>
      </c>
      <c r="AC43" s="73"/>
    </row>
    <row r="44" spans="1:29">
      <c r="A44" s="102"/>
      <c r="B44" s="47" t="s">
        <v>59</v>
      </c>
      <c r="C44" s="47" t="s">
        <v>17</v>
      </c>
      <c r="D44" s="31"/>
      <c r="E44" s="73"/>
      <c r="F44" s="31"/>
      <c r="G44" s="73"/>
      <c r="H44" s="31"/>
      <c r="I44" s="73"/>
      <c r="J44" s="31"/>
      <c r="K44" s="73"/>
      <c r="L44" s="31"/>
      <c r="M44" s="73"/>
      <c r="N44" s="31"/>
      <c r="O44" s="73"/>
      <c r="P44" s="31"/>
      <c r="Q44" s="73"/>
      <c r="R44" s="31"/>
      <c r="S44" s="73"/>
      <c r="T44" s="31"/>
      <c r="U44" s="73"/>
      <c r="V44" s="31"/>
      <c r="W44" s="73"/>
      <c r="X44" s="91"/>
      <c r="Y44" s="73"/>
      <c r="Z44" s="91"/>
      <c r="AA44" s="94"/>
      <c r="AB44" s="91">
        <f t="shared" si="0"/>
        <v>0</v>
      </c>
      <c r="AC44" s="73"/>
    </row>
    <row r="45" spans="1:29">
      <c r="A45" s="102"/>
      <c r="B45" s="47" t="s">
        <v>60</v>
      </c>
      <c r="C45" s="47" t="s">
        <v>17</v>
      </c>
      <c r="D45" s="31"/>
      <c r="E45" s="73"/>
      <c r="F45" s="31"/>
      <c r="G45" s="73"/>
      <c r="H45" s="31"/>
      <c r="I45" s="73"/>
      <c r="J45" s="31"/>
      <c r="K45" s="73"/>
      <c r="L45" s="31"/>
      <c r="M45" s="73"/>
      <c r="N45" s="31"/>
      <c r="O45" s="73"/>
      <c r="P45" s="31"/>
      <c r="Q45" s="73"/>
      <c r="R45" s="31"/>
      <c r="S45" s="73"/>
      <c r="T45" s="31"/>
      <c r="U45" s="73"/>
      <c r="V45" s="31"/>
      <c r="W45" s="73"/>
      <c r="X45" s="91"/>
      <c r="Y45" s="73"/>
      <c r="Z45" s="91"/>
      <c r="AA45" s="94"/>
      <c r="AB45" s="91">
        <f t="shared" si="0"/>
        <v>0</v>
      </c>
      <c r="AC45" s="73"/>
    </row>
    <row r="46" spans="1:29">
      <c r="A46" s="102"/>
      <c r="B46" s="61" t="s">
        <v>61</v>
      </c>
      <c r="C46" s="47" t="s">
        <v>17</v>
      </c>
      <c r="D46" s="31"/>
      <c r="E46" s="73"/>
      <c r="F46" s="31">
        <v>330000</v>
      </c>
      <c r="G46" s="73" t="s">
        <v>18</v>
      </c>
      <c r="H46" s="31">
        <v>55000</v>
      </c>
      <c r="I46" s="73" t="s">
        <v>18</v>
      </c>
      <c r="J46" s="31"/>
      <c r="K46" s="73"/>
      <c r="L46" s="31"/>
      <c r="M46" s="73"/>
      <c r="N46" s="31"/>
      <c r="O46" s="73"/>
      <c r="P46" s="31"/>
      <c r="Q46" s="73"/>
      <c r="R46" s="31"/>
      <c r="S46" s="73"/>
      <c r="T46" s="31"/>
      <c r="U46" s="73"/>
      <c r="V46" s="31"/>
      <c r="W46" s="73"/>
      <c r="X46" s="91"/>
      <c r="Y46" s="73"/>
      <c r="Z46" s="91"/>
      <c r="AA46" s="94"/>
      <c r="AB46" s="91">
        <f t="shared" si="0"/>
        <v>0</v>
      </c>
      <c r="AC46" s="73"/>
    </row>
    <row r="47" spans="1:29">
      <c r="A47" s="102"/>
      <c r="B47" s="1" t="s">
        <v>62</v>
      </c>
      <c r="C47" s="47" t="s">
        <v>17</v>
      </c>
      <c r="D47" s="31"/>
      <c r="E47" s="73"/>
      <c r="F47" s="31">
        <v>44000</v>
      </c>
      <c r="G47" s="73" t="s">
        <v>18</v>
      </c>
      <c r="H47" s="31">
        <v>65560</v>
      </c>
      <c r="I47" s="73"/>
      <c r="J47" s="31"/>
      <c r="K47" s="73"/>
      <c r="L47" s="31"/>
      <c r="M47" s="73"/>
      <c r="N47" s="31"/>
      <c r="O47" s="73"/>
      <c r="P47" s="31"/>
      <c r="Q47" s="73"/>
      <c r="R47" s="31"/>
      <c r="S47" s="73"/>
      <c r="T47" s="31"/>
      <c r="U47" s="73"/>
      <c r="V47" s="31"/>
      <c r="W47" s="73"/>
      <c r="X47" s="91"/>
      <c r="Y47" s="73"/>
      <c r="Z47" s="91"/>
      <c r="AA47" s="94"/>
      <c r="AB47" s="91">
        <f t="shared" si="0"/>
        <v>0</v>
      </c>
      <c r="AC47" s="73"/>
    </row>
    <row r="48" spans="1:29">
      <c r="A48" s="102"/>
      <c r="B48" s="1" t="s">
        <v>63</v>
      </c>
      <c r="C48" s="47"/>
      <c r="D48" s="31"/>
      <c r="E48" s="73"/>
      <c r="F48" s="31"/>
      <c r="G48" s="73"/>
      <c r="H48" s="31"/>
      <c r="I48" s="73"/>
      <c r="J48" s="31"/>
      <c r="K48" s="73"/>
      <c r="L48" s="31"/>
      <c r="M48" s="73"/>
      <c r="N48" s="31"/>
      <c r="O48" s="73"/>
      <c r="P48" s="31"/>
      <c r="Q48" s="73"/>
      <c r="R48" s="31"/>
      <c r="S48" s="73"/>
      <c r="T48" s="31"/>
      <c r="U48" s="73"/>
      <c r="V48" s="31"/>
      <c r="W48" s="73"/>
      <c r="X48" s="91"/>
      <c r="Y48" s="73"/>
      <c r="Z48" s="91"/>
      <c r="AA48" s="94"/>
      <c r="AB48" s="91"/>
      <c r="AC48" s="73"/>
    </row>
    <row r="49" spans="1:29">
      <c r="A49" s="102"/>
      <c r="B49" s="1"/>
      <c r="C49" s="47"/>
      <c r="D49" s="31"/>
      <c r="E49" s="73"/>
      <c r="F49" s="31"/>
      <c r="G49" s="73"/>
      <c r="H49" s="31"/>
      <c r="I49" s="73"/>
      <c r="J49" s="31"/>
      <c r="K49" s="73"/>
      <c r="L49" s="31"/>
      <c r="M49" s="73"/>
      <c r="N49" s="31"/>
      <c r="O49" s="73"/>
      <c r="P49" s="31"/>
      <c r="Q49" s="73"/>
      <c r="R49" s="31"/>
      <c r="S49" s="73"/>
      <c r="T49" s="31"/>
      <c r="U49" s="73"/>
      <c r="V49" s="31"/>
      <c r="W49" s="73"/>
      <c r="X49" s="91"/>
      <c r="Y49" s="73"/>
      <c r="Z49" s="91"/>
      <c r="AA49" s="94"/>
      <c r="AB49" s="91"/>
      <c r="AC49" s="73"/>
    </row>
    <row r="50" spans="1:29">
      <c r="A50" s="102"/>
      <c r="B50" s="1"/>
      <c r="C50" s="47"/>
      <c r="D50" s="31"/>
      <c r="E50" s="73"/>
      <c r="F50" s="31"/>
      <c r="G50" s="73"/>
      <c r="H50" s="31"/>
      <c r="I50" s="73"/>
      <c r="J50" s="31"/>
      <c r="K50" s="73"/>
      <c r="L50" s="31"/>
      <c r="M50" s="73"/>
      <c r="N50" s="31"/>
      <c r="O50" s="73"/>
      <c r="P50" s="31"/>
      <c r="Q50" s="73"/>
      <c r="R50" s="31"/>
      <c r="S50" s="73"/>
      <c r="T50" s="31"/>
      <c r="U50" s="73"/>
      <c r="V50" s="31"/>
      <c r="W50" s="73"/>
      <c r="X50" s="91"/>
      <c r="Y50" s="73"/>
      <c r="Z50" s="91"/>
      <c r="AA50" s="94"/>
      <c r="AB50" s="91"/>
      <c r="AC50" s="73"/>
    </row>
    <row r="51" spans="1:29">
      <c r="A51" s="102"/>
      <c r="B51" s="1"/>
      <c r="C51" s="47"/>
      <c r="D51" s="31"/>
      <c r="E51" s="73"/>
      <c r="F51" s="31"/>
      <c r="G51" s="73"/>
      <c r="H51" s="31"/>
      <c r="I51" s="73"/>
      <c r="J51" s="31"/>
      <c r="K51" s="73"/>
      <c r="L51" s="31"/>
      <c r="M51" s="73"/>
      <c r="N51" s="31"/>
      <c r="O51" s="73"/>
      <c r="P51" s="31"/>
      <c r="Q51" s="73"/>
      <c r="R51" s="31"/>
      <c r="S51" s="73"/>
      <c r="T51" s="31"/>
      <c r="U51" s="73"/>
      <c r="V51" s="31"/>
      <c r="W51" s="73"/>
      <c r="X51" s="91"/>
      <c r="Y51" s="73"/>
      <c r="Z51" s="91"/>
      <c r="AA51" s="94"/>
      <c r="AB51" s="91"/>
      <c r="AC51" s="73"/>
    </row>
    <row r="52" spans="1:29">
      <c r="A52" s="102"/>
      <c r="B52" s="1"/>
      <c r="C52" s="47"/>
      <c r="D52" s="31"/>
      <c r="E52" s="73"/>
      <c r="F52" s="31"/>
      <c r="G52" s="73"/>
      <c r="H52" s="31"/>
      <c r="I52" s="73"/>
      <c r="J52" s="31"/>
      <c r="K52" s="73"/>
      <c r="L52" s="31"/>
      <c r="M52" s="73"/>
      <c r="N52" s="31"/>
      <c r="O52" s="73"/>
      <c r="P52" s="31"/>
      <c r="Q52" s="73"/>
      <c r="R52" s="31"/>
      <c r="S52" s="73"/>
      <c r="T52" s="31"/>
      <c r="U52" s="73"/>
      <c r="V52" s="31"/>
      <c r="W52" s="73"/>
      <c r="X52" s="91"/>
      <c r="Y52" s="73"/>
      <c r="Z52" s="91"/>
      <c r="AA52" s="94"/>
      <c r="AB52" s="91"/>
      <c r="AC52" s="73"/>
    </row>
    <row r="53" spans="1:29">
      <c r="A53" s="102"/>
      <c r="B53" s="1"/>
      <c r="C53" s="47"/>
      <c r="D53" s="31"/>
      <c r="E53" s="73"/>
      <c r="F53" s="31"/>
      <c r="G53" s="73"/>
      <c r="H53" s="31"/>
      <c r="I53" s="73"/>
      <c r="J53" s="31"/>
      <c r="K53" s="73"/>
      <c r="L53" s="31"/>
      <c r="M53" s="73"/>
      <c r="N53" s="31"/>
      <c r="O53" s="73"/>
      <c r="P53" s="31"/>
      <c r="Q53" s="73"/>
      <c r="R53" s="31"/>
      <c r="S53" s="73"/>
      <c r="T53" s="31"/>
      <c r="U53" s="73"/>
      <c r="V53" s="31"/>
      <c r="W53" s="73"/>
      <c r="X53" s="91"/>
      <c r="Y53" s="73"/>
      <c r="Z53" s="91"/>
      <c r="AA53" s="94"/>
      <c r="AB53" s="91"/>
      <c r="AC53" s="73"/>
    </row>
    <row r="54" spans="1:29">
      <c r="A54" s="102"/>
      <c r="B54" s="1"/>
      <c r="C54" s="47"/>
      <c r="D54" s="31"/>
      <c r="E54" s="73"/>
      <c r="F54" s="31"/>
      <c r="G54" s="73"/>
      <c r="H54" s="31"/>
      <c r="I54" s="73"/>
      <c r="J54" s="31"/>
      <c r="K54" s="73"/>
      <c r="L54" s="31"/>
      <c r="M54" s="73"/>
      <c r="N54" s="31"/>
      <c r="O54" s="73"/>
      <c r="P54" s="31"/>
      <c r="Q54" s="73"/>
      <c r="R54" s="31"/>
      <c r="S54" s="73"/>
      <c r="T54" s="31"/>
      <c r="U54" s="73"/>
      <c r="V54" s="31"/>
      <c r="W54" s="73"/>
      <c r="X54" s="91"/>
      <c r="Y54" s="73"/>
      <c r="Z54" s="91"/>
      <c r="AA54" s="94"/>
      <c r="AB54" s="91"/>
      <c r="AC54" s="73"/>
    </row>
    <row r="55" spans="1:29">
      <c r="A55" s="102"/>
      <c r="B55" s="1"/>
      <c r="C55" s="47"/>
      <c r="D55" s="31"/>
      <c r="E55" s="73"/>
      <c r="F55" s="31"/>
      <c r="G55" s="73"/>
      <c r="H55" s="31"/>
      <c r="I55" s="73"/>
      <c r="J55" s="31"/>
      <c r="K55" s="73"/>
      <c r="L55" s="31"/>
      <c r="M55" s="73"/>
      <c r="N55" s="31"/>
      <c r="O55" s="73"/>
      <c r="P55" s="31"/>
      <c r="Q55" s="73"/>
      <c r="R55" s="31"/>
      <c r="S55" s="73"/>
      <c r="T55" s="31"/>
      <c r="U55" s="73"/>
      <c r="V55" s="31"/>
      <c r="W55" s="73"/>
      <c r="X55" s="91"/>
      <c r="Y55" s="73"/>
      <c r="Z55" s="91"/>
      <c r="AA55" s="94"/>
      <c r="AB55" s="91"/>
      <c r="AC55" s="73"/>
    </row>
    <row r="56" spans="1:29">
      <c r="A56" s="102"/>
      <c r="B56" s="1"/>
      <c r="C56" s="47"/>
      <c r="D56" s="31"/>
      <c r="E56" s="73"/>
      <c r="F56" s="31"/>
      <c r="G56" s="73"/>
      <c r="H56" s="31"/>
      <c r="I56" s="73"/>
      <c r="J56" s="31"/>
      <c r="K56" s="73"/>
      <c r="L56" s="31"/>
      <c r="M56" s="73"/>
      <c r="N56" s="31"/>
      <c r="O56" s="73"/>
      <c r="P56" s="31"/>
      <c r="Q56" s="73"/>
      <c r="R56" s="31"/>
      <c r="S56" s="73"/>
      <c r="T56" s="31"/>
      <c r="U56" s="73"/>
      <c r="V56" s="31"/>
      <c r="W56" s="73"/>
      <c r="X56" s="91"/>
      <c r="Y56" s="73"/>
      <c r="Z56" s="91"/>
      <c r="AA56" s="94"/>
      <c r="AB56" s="91"/>
      <c r="AC56" s="73"/>
    </row>
    <row r="57" spans="1:29">
      <c r="A57" s="102"/>
      <c r="B57" s="1" t="s">
        <v>64</v>
      </c>
      <c r="C57" s="47" t="s">
        <v>17</v>
      </c>
      <c r="D57" s="31"/>
      <c r="E57" s="73"/>
      <c r="F57" s="31"/>
      <c r="G57" s="73"/>
      <c r="H57" s="31"/>
      <c r="I57" s="73"/>
      <c r="J57" s="31"/>
      <c r="K57" s="73"/>
      <c r="L57" s="31"/>
      <c r="M57" s="73"/>
      <c r="N57" s="31"/>
      <c r="O57" s="73"/>
      <c r="P57" s="31"/>
      <c r="Q57" s="73"/>
      <c r="R57" s="31"/>
      <c r="S57" s="73"/>
      <c r="T57" s="31"/>
      <c r="U57" s="73"/>
      <c r="V57" s="31"/>
      <c r="W57" s="73"/>
      <c r="X57" s="91"/>
      <c r="Y57" s="73"/>
      <c r="Z57" s="91"/>
      <c r="AA57" s="94"/>
      <c r="AB57" s="91">
        <f t="shared" si="0"/>
        <v>0</v>
      </c>
      <c r="AC57" s="73"/>
    </row>
    <row r="58" spans="1:29">
      <c r="B58" s="98" t="s">
        <v>65</v>
      </c>
      <c r="C58" s="98"/>
      <c r="D58" s="31">
        <f>D13</f>
        <v>0</v>
      </c>
      <c r="E58" s="73"/>
      <c r="F58" s="31">
        <f>F13</f>
        <v>23650</v>
      </c>
      <c r="G58" s="73" t="s">
        <v>18</v>
      </c>
      <c r="H58" s="31">
        <f>H13</f>
        <v>51920</v>
      </c>
      <c r="I58" s="73" t="s">
        <v>18</v>
      </c>
      <c r="J58" s="31">
        <f>J13</f>
        <v>104302</v>
      </c>
      <c r="K58" s="73" t="s">
        <v>18</v>
      </c>
      <c r="L58" s="31">
        <f>L13</f>
        <v>0</v>
      </c>
      <c r="M58" s="73"/>
      <c r="N58" s="31">
        <f>N13</f>
        <v>0</v>
      </c>
      <c r="O58" s="73"/>
      <c r="P58" s="31">
        <f>P13</f>
        <v>0</v>
      </c>
      <c r="Q58" s="73"/>
      <c r="R58" s="31">
        <f>R13</f>
        <v>0</v>
      </c>
      <c r="S58" s="73"/>
      <c r="T58" s="31">
        <f>T13</f>
        <v>0</v>
      </c>
      <c r="U58" s="73"/>
      <c r="V58" s="31">
        <f>V13</f>
        <v>0</v>
      </c>
      <c r="W58" s="73"/>
      <c r="X58" s="31">
        <f>X13</f>
        <v>0</v>
      </c>
      <c r="Y58" s="73"/>
      <c r="Z58" s="31">
        <f>Z13</f>
        <v>0</v>
      </c>
      <c r="AA58" s="79">
        <f>AA13</f>
        <v>0</v>
      </c>
      <c r="AB58" s="31">
        <f>AB13</f>
        <v>0</v>
      </c>
      <c r="AC58" s="73"/>
    </row>
    <row r="59" spans="1:29">
      <c r="B59" s="99" t="s">
        <v>66</v>
      </c>
      <c r="C59" s="99"/>
      <c r="D59" s="31">
        <f>D23+D41</f>
        <v>0</v>
      </c>
      <c r="E59" s="73"/>
      <c r="F59" s="31">
        <f>F23+F41</f>
        <v>52800</v>
      </c>
      <c r="G59" s="73" t="s">
        <v>18</v>
      </c>
      <c r="H59" s="31">
        <f>H23+H41</f>
        <v>2095</v>
      </c>
      <c r="I59" s="73" t="s">
        <v>18</v>
      </c>
      <c r="J59" s="31">
        <f>J23+J41</f>
        <v>0</v>
      </c>
      <c r="K59" s="73"/>
      <c r="L59" s="31">
        <f>L23+L41</f>
        <v>0</v>
      </c>
      <c r="M59" s="73"/>
      <c r="N59" s="31">
        <f>N23+N41</f>
        <v>0</v>
      </c>
      <c r="O59" s="73"/>
      <c r="P59" s="31">
        <f>P23+P41</f>
        <v>0</v>
      </c>
      <c r="Q59" s="73"/>
      <c r="R59" s="31">
        <f>R23+R41</f>
        <v>0</v>
      </c>
      <c r="S59" s="73"/>
      <c r="T59" s="31">
        <f>T23+T41</f>
        <v>0</v>
      </c>
      <c r="U59" s="73"/>
      <c r="V59" s="31">
        <f>V23+V41</f>
        <v>0</v>
      </c>
      <c r="W59" s="73"/>
      <c r="X59" s="31">
        <f>X23+X41</f>
        <v>0</v>
      </c>
      <c r="Y59" s="73"/>
      <c r="Z59" s="31">
        <f>Z23+Z41</f>
        <v>0</v>
      </c>
      <c r="AA59" s="79">
        <f>AA23+AA41</f>
        <v>0</v>
      </c>
      <c r="AB59" s="31">
        <f>AB23+AB41</f>
        <v>0</v>
      </c>
      <c r="AC59" s="73"/>
    </row>
    <row r="60" spans="1:29" ht="19.5" thickBot="1">
      <c r="B60" s="100" t="s">
        <v>67</v>
      </c>
      <c r="C60" s="100"/>
      <c r="D60" s="34">
        <f>D61-D58-D59</f>
        <v>3450216</v>
      </c>
      <c r="E60" s="76" t="s">
        <v>18</v>
      </c>
      <c r="F60" s="34">
        <f>F61-F58-F59</f>
        <v>4043937</v>
      </c>
      <c r="G60" s="76" t="s">
        <v>18</v>
      </c>
      <c r="H60" s="34">
        <f>H61-H58-H59</f>
        <v>7435623</v>
      </c>
      <c r="I60" s="76" t="s">
        <v>18</v>
      </c>
      <c r="J60" s="34">
        <f>J61-J58-J59</f>
        <v>8559192</v>
      </c>
      <c r="K60" s="76" t="s">
        <v>18</v>
      </c>
      <c r="L60" s="34">
        <f>L61-L58-L59</f>
        <v>0</v>
      </c>
      <c r="M60" s="76"/>
      <c r="N60" s="34">
        <f>N61-N58-N59</f>
        <v>0</v>
      </c>
      <c r="O60" s="76"/>
      <c r="P60" s="34">
        <f>P61-P58-P59</f>
        <v>0</v>
      </c>
      <c r="Q60" s="76"/>
      <c r="R60" s="34">
        <f>R61-R58-R59</f>
        <v>0</v>
      </c>
      <c r="S60" s="76"/>
      <c r="T60" s="34">
        <f>T61-T58-T59</f>
        <v>0</v>
      </c>
      <c r="U60" s="76"/>
      <c r="V60" s="34">
        <f>V61-V58-V59</f>
        <v>0</v>
      </c>
      <c r="W60" s="76"/>
      <c r="X60" s="34">
        <f>X61-X58-X59</f>
        <v>0</v>
      </c>
      <c r="Y60" s="76"/>
      <c r="Z60" s="34">
        <f>Z61-Z58-Z59</f>
        <v>7000</v>
      </c>
      <c r="AA60" s="95">
        <f>AA61-AA58-AA59</f>
        <v>0</v>
      </c>
      <c r="AB60" s="34">
        <f>AB61-AB58-AB59</f>
        <v>7000</v>
      </c>
      <c r="AC60" s="76"/>
    </row>
    <row r="61" spans="1:29" ht="19.5" thickTop="1">
      <c r="B61" s="101" t="s">
        <v>68</v>
      </c>
      <c r="C61" s="101"/>
      <c r="D61" s="77">
        <f>SUM(D2:D57)</f>
        <v>3450216</v>
      </c>
      <c r="E61" s="78" t="s">
        <v>18</v>
      </c>
      <c r="F61" s="80">
        <f>SUM(F2:F57)</f>
        <v>4120387</v>
      </c>
      <c r="G61" s="83" t="s">
        <v>18</v>
      </c>
      <c r="H61" s="80">
        <f>SUM(H2:H57)</f>
        <v>7489638</v>
      </c>
      <c r="I61" s="83" t="s">
        <v>18</v>
      </c>
      <c r="J61" s="80">
        <f>SUM(J2:J57)</f>
        <v>8663494</v>
      </c>
      <c r="K61" s="83" t="s">
        <v>18</v>
      </c>
      <c r="L61" s="80">
        <f>SUM(L2:L57)</f>
        <v>0</v>
      </c>
      <c r="M61" s="83"/>
      <c r="N61" s="80">
        <f>SUM(N2:N57)</f>
        <v>0</v>
      </c>
      <c r="O61" s="83"/>
      <c r="P61" s="80">
        <f>SUM(P2:P57)</f>
        <v>0</v>
      </c>
      <c r="Q61" s="83"/>
      <c r="R61" s="80">
        <f>SUM(R2:R57)</f>
        <v>0</v>
      </c>
      <c r="S61" s="83"/>
      <c r="T61" s="80">
        <f>SUM(T2:T57)</f>
        <v>0</v>
      </c>
      <c r="U61" s="83"/>
      <c r="V61" s="80">
        <f>SUM(V2:V57)</f>
        <v>0</v>
      </c>
      <c r="W61" s="83"/>
      <c r="X61" s="80">
        <f>SUM(X2:X57)</f>
        <v>0</v>
      </c>
      <c r="Y61" s="83"/>
      <c r="Z61" s="80">
        <f>SUM(Z2:Z57)</f>
        <v>7000</v>
      </c>
      <c r="AA61" s="96">
        <f>SUM(AA2:AA57)</f>
        <v>0</v>
      </c>
      <c r="AB61" s="80">
        <f>SUM(AB2:AB57)</f>
        <v>7000</v>
      </c>
      <c r="AC61" s="83"/>
    </row>
    <row r="62" spans="1:29">
      <c r="H62"/>
      <c r="P62" s="97"/>
    </row>
    <row r="63" spans="1:29">
      <c r="H63" s="63" t="s">
        <v>69</v>
      </c>
    </row>
    <row r="64" spans="1:29">
      <c r="H64" s="63" t="s">
        <v>70</v>
      </c>
    </row>
    <row r="65" spans="8:8">
      <c r="H65" s="63" t="s">
        <v>71</v>
      </c>
    </row>
    <row r="66" spans="8:8">
      <c r="H66" s="63"/>
    </row>
    <row r="67" spans="8:8">
      <c r="H67" s="63" t="s">
        <v>72</v>
      </c>
    </row>
    <row r="68" spans="8:8">
      <c r="H68" s="64" t="s">
        <v>73</v>
      </c>
    </row>
    <row r="69" spans="8:8">
      <c r="H69" s="64" t="s">
        <v>74</v>
      </c>
    </row>
  </sheetData>
  <mergeCells count="5">
    <mergeCell ref="B58:C58"/>
    <mergeCell ref="B59:C59"/>
    <mergeCell ref="B60:C60"/>
    <mergeCell ref="B61:C61"/>
    <mergeCell ref="A40:A57"/>
  </mergeCells>
  <phoneticPr fontId="1"/>
  <dataValidations count="3">
    <dataValidation type="list" allowBlank="1" showInputMessage="1" showErrorMessage="1" sqref="H63:H70" xr:uid="{6D1C049E-E17E-4160-BB41-479679A01B36}">
      <formula1>",合銀1,合銀,島銀,振込手数,    "</formula1>
    </dataValidation>
    <dataValidation type="list" allowBlank="1" showInputMessage="1" showErrorMessage="1" sqref="C2:C57" xr:uid="{7D7E729E-C83A-4F8B-8C0A-321BF667033F}">
      <formula1>"現金,振込"</formula1>
    </dataValidation>
    <dataValidation type="list" allowBlank="1" showInputMessage="1" showErrorMessage="1" sqref="E2:E61 Y2:Y1048576 G2:G1048576 I2:I1048576 K2:K1048576 M2:M1048576 O2:O1048576 Q2:Q1048576 S2:S1048576 U2:U1048576 W2:W1048576 AC2:AC1048576" xr:uid="{C7F54055-A8BD-424F-AEA2-E16E43BABBBC}">
      <formula1>"✓"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&amp;C石飛大工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arch_Company">
                <anchor moveWithCells="1" sizeWithCells="1">
                  <from>
                    <xdr:col>30</xdr:col>
                    <xdr:colOff>476250</xdr:colOff>
                    <xdr:row>4</xdr:row>
                    <xdr:rowOff>142875</xdr:rowOff>
                  </from>
                  <to>
                    <xdr:col>33</xdr:col>
                    <xdr:colOff>457200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D1493-5769-425C-A8F8-B4A500157E1B}">
  <sheetPr codeName="Sheet2">
    <tabColor theme="7" tint="0.39997558519241921"/>
  </sheetPr>
  <dimension ref="A1:K50"/>
  <sheetViews>
    <sheetView topLeftCell="B1" workbookViewId="0">
      <pane ySplit="1" topLeftCell="A6" activePane="bottomLeft" state="frozen"/>
      <selection pane="bottomLeft" activeCell="H5" sqref="H5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/>
      <c r="D2" s="2"/>
      <c r="E2" s="2"/>
      <c r="F2" s="2">
        <f>D2*E2</f>
        <v>0</v>
      </c>
      <c r="G2" s="2"/>
      <c r="H2" s="2"/>
      <c r="I2" s="2">
        <f>F2-H2</f>
        <v>0</v>
      </c>
      <c r="J2" s="2"/>
      <c r="K2" s="5"/>
    </row>
    <row r="3" spans="1:11">
      <c r="A3" s="4"/>
      <c r="B3" s="2"/>
      <c r="C3" s="1"/>
      <c r="D3" s="1"/>
      <c r="E3" s="1"/>
      <c r="F3" s="1">
        <f t="shared" ref="F3:F47" si="0">D3*E3</f>
        <v>0</v>
      </c>
      <c r="G3" s="2"/>
      <c r="H3" s="1"/>
      <c r="I3" s="1">
        <f>I2+F3-H3</f>
        <v>0</v>
      </c>
      <c r="J3" s="1"/>
      <c r="K3" s="5"/>
    </row>
    <row r="4" spans="1:11">
      <c r="A4" s="4"/>
      <c r="B4" s="2"/>
      <c r="C4" s="1"/>
      <c r="D4" s="1"/>
      <c r="E4" s="1"/>
      <c r="F4" s="1">
        <f t="shared" si="0"/>
        <v>0</v>
      </c>
      <c r="G4" s="2"/>
      <c r="H4" s="1"/>
      <c r="I4" s="1">
        <f t="shared" ref="I4:I47" si="1">I3+F4-H4</f>
        <v>0</v>
      </c>
      <c r="J4" s="1"/>
      <c r="K4" s="5"/>
    </row>
    <row r="5" spans="1:11">
      <c r="A5" s="4"/>
      <c r="B5" s="2"/>
      <c r="C5" s="1"/>
      <c r="D5" s="1"/>
      <c r="E5" s="1"/>
      <c r="F5" s="1">
        <f t="shared" si="0"/>
        <v>0</v>
      </c>
      <c r="G5" s="2"/>
      <c r="H5" s="1"/>
      <c r="I5" s="1">
        <f t="shared" si="1"/>
        <v>0</v>
      </c>
      <c r="J5" s="1"/>
      <c r="K5" s="5"/>
    </row>
    <row r="6" spans="1:11">
      <c r="A6" s="4"/>
      <c r="B6" s="2"/>
      <c r="C6" s="1"/>
      <c r="D6" s="1"/>
      <c r="E6" s="1"/>
      <c r="F6" s="1">
        <f t="shared" si="0"/>
        <v>0</v>
      </c>
      <c r="G6" s="2"/>
      <c r="H6" s="1"/>
      <c r="I6" s="1">
        <f t="shared" si="1"/>
        <v>0</v>
      </c>
      <c r="J6" s="1"/>
      <c r="K6" s="5"/>
    </row>
    <row r="7" spans="1:11">
      <c r="A7" s="4"/>
      <c r="B7" s="2"/>
      <c r="C7" s="1"/>
      <c r="D7" s="1"/>
      <c r="E7" s="1"/>
      <c r="F7" s="1">
        <f t="shared" si="0"/>
        <v>0</v>
      </c>
      <c r="G7" s="2"/>
      <c r="H7" s="1"/>
      <c r="I7" s="1">
        <f t="shared" si="1"/>
        <v>0</v>
      </c>
      <c r="J7" s="1"/>
      <c r="K7" s="5"/>
    </row>
    <row r="8" spans="1:11">
      <c r="A8" s="4"/>
      <c r="B8" s="2"/>
      <c r="C8" s="1"/>
      <c r="D8" s="1"/>
      <c r="E8" s="1"/>
      <c r="F8" s="1">
        <f t="shared" si="0"/>
        <v>0</v>
      </c>
      <c r="G8" s="2"/>
      <c r="H8" s="1"/>
      <c r="I8" s="1">
        <f t="shared" si="1"/>
        <v>0</v>
      </c>
      <c r="J8" s="1"/>
      <c r="K8" s="5"/>
    </row>
    <row r="9" spans="1:11">
      <c r="A9" s="4"/>
      <c r="B9" s="2"/>
      <c r="C9" s="1"/>
      <c r="D9" s="1"/>
      <c r="E9" s="1"/>
      <c r="F9" s="1">
        <f t="shared" si="0"/>
        <v>0</v>
      </c>
      <c r="G9" s="2"/>
      <c r="H9" s="1"/>
      <c r="I9" s="1">
        <f t="shared" si="1"/>
        <v>0</v>
      </c>
      <c r="J9" s="1"/>
      <c r="K9" s="5"/>
    </row>
    <row r="10" spans="1:11">
      <c r="A10" s="4"/>
      <c r="B10" s="2"/>
      <c r="C10" s="1"/>
      <c r="D10" s="1"/>
      <c r="E10" s="1"/>
      <c r="F10" s="1">
        <f t="shared" si="0"/>
        <v>0</v>
      </c>
      <c r="G10" s="2"/>
      <c r="H10" s="1"/>
      <c r="I10" s="1">
        <f t="shared" si="1"/>
        <v>0</v>
      </c>
      <c r="J10" s="1"/>
      <c r="K10" s="5"/>
    </row>
    <row r="11" spans="1:11">
      <c r="A11" s="4"/>
      <c r="B11" s="2"/>
      <c r="C11" s="1"/>
      <c r="D11" s="1"/>
      <c r="E11" s="1"/>
      <c r="F11" s="1">
        <f t="shared" si="0"/>
        <v>0</v>
      </c>
      <c r="G11" s="2"/>
      <c r="H11" s="1"/>
      <c r="I11" s="1">
        <f t="shared" si="1"/>
        <v>0</v>
      </c>
      <c r="J11" s="1"/>
      <c r="K11" s="5"/>
    </row>
    <row r="12" spans="1:11">
      <c r="A12" s="4"/>
      <c r="B12" s="2"/>
      <c r="C12" s="1"/>
      <c r="D12" s="1"/>
      <c r="E12" s="1"/>
      <c r="F12" s="1">
        <f t="shared" si="0"/>
        <v>0</v>
      </c>
      <c r="G12" s="2"/>
      <c r="H12" s="1"/>
      <c r="I12" s="1">
        <f t="shared" si="1"/>
        <v>0</v>
      </c>
      <c r="J12" s="1"/>
      <c r="K12" s="5"/>
    </row>
    <row r="13" spans="1:11">
      <c r="A13" s="4"/>
      <c r="B13" s="2"/>
      <c r="C13" s="1"/>
      <c r="D13" s="1"/>
      <c r="E13" s="1"/>
      <c r="F13" s="1">
        <f t="shared" si="0"/>
        <v>0</v>
      </c>
      <c r="G13" s="2"/>
      <c r="H13" s="1"/>
      <c r="I13" s="1">
        <f t="shared" si="1"/>
        <v>0</v>
      </c>
      <c r="J13" s="1"/>
      <c r="K13" s="5"/>
    </row>
    <row r="14" spans="1:11">
      <c r="A14" s="4"/>
      <c r="B14" s="2"/>
      <c r="C14" s="1"/>
      <c r="D14" s="1"/>
      <c r="E14" s="1"/>
      <c r="F14" s="1">
        <f t="shared" si="0"/>
        <v>0</v>
      </c>
      <c r="G14" s="2"/>
      <c r="H14" s="1"/>
      <c r="I14" s="1">
        <f t="shared" si="1"/>
        <v>0</v>
      </c>
      <c r="J14" s="1"/>
      <c r="K14" s="5"/>
    </row>
    <row r="15" spans="1:11">
      <c r="A15" s="4"/>
      <c r="B15" s="2"/>
      <c r="C15" s="1"/>
      <c r="D15" s="1"/>
      <c r="E15" s="1"/>
      <c r="F15" s="1">
        <f t="shared" si="0"/>
        <v>0</v>
      </c>
      <c r="G15" s="2"/>
      <c r="H15" s="1"/>
      <c r="I15" s="1">
        <f t="shared" si="1"/>
        <v>0</v>
      </c>
      <c r="J15" s="1"/>
      <c r="K15" s="5"/>
    </row>
    <row r="16" spans="1:11">
      <c r="A16" s="4"/>
      <c r="B16" s="2"/>
      <c r="C16" s="1"/>
      <c r="D16" s="1"/>
      <c r="E16" s="1"/>
      <c r="F16" s="1">
        <f t="shared" si="0"/>
        <v>0</v>
      </c>
      <c r="G16" s="2"/>
      <c r="H16" s="1"/>
      <c r="I16" s="1">
        <f t="shared" si="1"/>
        <v>0</v>
      </c>
      <c r="J16" s="1"/>
      <c r="K16" s="5"/>
    </row>
    <row r="17" spans="1:11">
      <c r="A17" s="4"/>
      <c r="B17" s="2"/>
      <c r="C17" s="1"/>
      <c r="D17" s="1"/>
      <c r="E17" s="1"/>
      <c r="F17" s="1">
        <f t="shared" si="0"/>
        <v>0</v>
      </c>
      <c r="G17" s="2"/>
      <c r="H17" s="1"/>
      <c r="I17" s="1">
        <f t="shared" si="1"/>
        <v>0</v>
      </c>
      <c r="J17" s="1"/>
      <c r="K17" s="5"/>
    </row>
    <row r="18" spans="1:11">
      <c r="A18" s="4"/>
      <c r="B18" s="2"/>
      <c r="C18" s="1"/>
      <c r="D18" s="1"/>
      <c r="E18" s="1"/>
      <c r="F18" s="1">
        <f t="shared" si="0"/>
        <v>0</v>
      </c>
      <c r="G18" s="2"/>
      <c r="H18" s="1"/>
      <c r="I18" s="1">
        <f t="shared" si="1"/>
        <v>0</v>
      </c>
      <c r="J18" s="1"/>
      <c r="K18" s="5"/>
    </row>
    <row r="19" spans="1:11">
      <c r="A19" s="4"/>
      <c r="B19" s="2"/>
      <c r="C19" s="1"/>
      <c r="D19" s="1"/>
      <c r="E19" s="1"/>
      <c r="F19" s="1">
        <f t="shared" si="0"/>
        <v>0</v>
      </c>
      <c r="G19" s="2"/>
      <c r="H19" s="1"/>
      <c r="I19" s="1">
        <f t="shared" si="1"/>
        <v>0</v>
      </c>
      <c r="J19" s="1"/>
      <c r="K19" s="5"/>
    </row>
    <row r="20" spans="1:11">
      <c r="A20" s="4"/>
      <c r="B20" s="2"/>
      <c r="C20" s="1"/>
      <c r="D20" s="1"/>
      <c r="E20" s="1"/>
      <c r="F20" s="1">
        <f t="shared" si="0"/>
        <v>0</v>
      </c>
      <c r="G20" s="2"/>
      <c r="H20" s="1"/>
      <c r="I20" s="1">
        <f t="shared" si="1"/>
        <v>0</v>
      </c>
      <c r="J20" s="1"/>
      <c r="K20" s="5"/>
    </row>
    <row r="21" spans="1:11">
      <c r="A21" s="4"/>
      <c r="B21" s="2"/>
      <c r="C21" s="1"/>
      <c r="D21" s="1"/>
      <c r="E21" s="1"/>
      <c r="F21" s="1">
        <f t="shared" si="0"/>
        <v>0</v>
      </c>
      <c r="G21" s="2"/>
      <c r="H21" s="1"/>
      <c r="I21" s="1">
        <f t="shared" si="1"/>
        <v>0</v>
      </c>
      <c r="J21" s="1"/>
      <c r="K21" s="5"/>
    </row>
    <row r="22" spans="1:11">
      <c r="A22" s="4"/>
      <c r="B22" s="2"/>
      <c r="C22" s="1"/>
      <c r="D22" s="1"/>
      <c r="E22" s="1"/>
      <c r="F22" s="1">
        <f t="shared" si="0"/>
        <v>0</v>
      </c>
      <c r="G22" s="2"/>
      <c r="H22" s="1"/>
      <c r="I22" s="1">
        <f t="shared" si="1"/>
        <v>0</v>
      </c>
      <c r="J22" s="1"/>
      <c r="K22" s="5"/>
    </row>
    <row r="23" spans="1:11">
      <c r="A23" s="4"/>
      <c r="B23" s="2"/>
      <c r="C23" s="1"/>
      <c r="D23" s="1"/>
      <c r="E23" s="1"/>
      <c r="F23" s="1">
        <f t="shared" si="0"/>
        <v>0</v>
      </c>
      <c r="G23" s="2"/>
      <c r="H23" s="1"/>
      <c r="I23" s="1">
        <f t="shared" si="1"/>
        <v>0</v>
      </c>
      <c r="J23" s="1"/>
      <c r="K23" s="5"/>
    </row>
    <row r="24" spans="1:11">
      <c r="A24" s="4"/>
      <c r="B24" s="2"/>
      <c r="C24" s="1"/>
      <c r="D24" s="1"/>
      <c r="E24" s="1"/>
      <c r="F24" s="1">
        <f t="shared" si="0"/>
        <v>0</v>
      </c>
      <c r="G24" s="2"/>
      <c r="H24" s="1"/>
      <c r="I24" s="1">
        <f t="shared" si="1"/>
        <v>0</v>
      </c>
      <c r="J24" s="1"/>
      <c r="K24" s="5"/>
    </row>
    <row r="25" spans="1:11">
      <c r="A25" s="4"/>
      <c r="B25" s="2"/>
      <c r="C25" s="1"/>
      <c r="D25" s="1"/>
      <c r="E25" s="1"/>
      <c r="F25" s="1">
        <f t="shared" si="0"/>
        <v>0</v>
      </c>
      <c r="G25" s="2"/>
      <c r="H25" s="1"/>
      <c r="I25" s="1">
        <f t="shared" si="1"/>
        <v>0</v>
      </c>
      <c r="J25" s="1"/>
      <c r="K25" s="5"/>
    </row>
    <row r="26" spans="1:11">
      <c r="A26" s="4"/>
      <c r="B26" s="2"/>
      <c r="C26" s="1"/>
      <c r="D26" s="1"/>
      <c r="E26" s="1"/>
      <c r="F26" s="1">
        <f t="shared" si="0"/>
        <v>0</v>
      </c>
      <c r="G26" s="2"/>
      <c r="H26" s="1"/>
      <c r="I26" s="1">
        <f t="shared" si="1"/>
        <v>0</v>
      </c>
      <c r="J26" s="1"/>
      <c r="K26" s="5"/>
    </row>
    <row r="27" spans="1:11">
      <c r="A27" s="4"/>
      <c r="B27" s="2"/>
      <c r="C27" s="1"/>
      <c r="D27" s="1"/>
      <c r="E27" s="1"/>
      <c r="F27" s="1">
        <f t="shared" si="0"/>
        <v>0</v>
      </c>
      <c r="G27" s="2"/>
      <c r="H27" s="1"/>
      <c r="I27" s="1">
        <f t="shared" si="1"/>
        <v>0</v>
      </c>
      <c r="J27" s="1"/>
      <c r="K27" s="5"/>
    </row>
    <row r="28" spans="1:11">
      <c r="A28" s="4"/>
      <c r="B28" s="2"/>
      <c r="C28" s="1"/>
      <c r="D28" s="1"/>
      <c r="E28" s="1"/>
      <c r="F28" s="1">
        <f t="shared" si="0"/>
        <v>0</v>
      </c>
      <c r="G28" s="2"/>
      <c r="H28" s="1"/>
      <c r="I28" s="1">
        <f t="shared" si="1"/>
        <v>0</v>
      </c>
      <c r="J28" s="1"/>
      <c r="K28" s="5"/>
    </row>
    <row r="29" spans="1:11">
      <c r="A29" s="4"/>
      <c r="B29" s="2"/>
      <c r="C29" s="1"/>
      <c r="D29" s="1"/>
      <c r="E29" s="1"/>
      <c r="F29" s="1">
        <f t="shared" si="0"/>
        <v>0</v>
      </c>
      <c r="G29" s="2"/>
      <c r="H29" s="1"/>
      <c r="I29" s="1">
        <f t="shared" si="1"/>
        <v>0</v>
      </c>
      <c r="J29" s="1"/>
      <c r="K29" s="5"/>
    </row>
    <row r="30" spans="1:11">
      <c r="A30" s="4"/>
      <c r="B30" s="2"/>
      <c r="C30" s="1"/>
      <c r="D30" s="1"/>
      <c r="E30" s="1"/>
      <c r="F30" s="1">
        <f t="shared" si="0"/>
        <v>0</v>
      </c>
      <c r="G30" s="2"/>
      <c r="H30" s="1"/>
      <c r="I30" s="1">
        <f t="shared" si="1"/>
        <v>0</v>
      </c>
      <c r="J30" s="1"/>
      <c r="K30" s="5"/>
    </row>
    <row r="31" spans="1:11">
      <c r="A31" s="4"/>
      <c r="B31" s="2"/>
      <c r="C31" s="1"/>
      <c r="D31" s="1"/>
      <c r="E31" s="1"/>
      <c r="F31" s="1">
        <f t="shared" si="0"/>
        <v>0</v>
      </c>
      <c r="G31" s="2"/>
      <c r="H31" s="1"/>
      <c r="I31" s="1">
        <f t="shared" si="1"/>
        <v>0</v>
      </c>
      <c r="J31" s="1"/>
      <c r="K31" s="5"/>
    </row>
    <row r="32" spans="1:11">
      <c r="A32" s="4"/>
      <c r="B32" s="2"/>
      <c r="C32" s="1"/>
      <c r="D32" s="1"/>
      <c r="E32" s="1"/>
      <c r="F32" s="1">
        <f t="shared" si="0"/>
        <v>0</v>
      </c>
      <c r="G32" s="2"/>
      <c r="H32" s="1"/>
      <c r="I32" s="1">
        <f t="shared" si="1"/>
        <v>0</v>
      </c>
      <c r="J32" s="1"/>
      <c r="K32" s="5"/>
    </row>
    <row r="33" spans="1:11">
      <c r="A33" s="4"/>
      <c r="B33" s="2"/>
      <c r="C33" s="1"/>
      <c r="D33" s="1"/>
      <c r="E33" s="1"/>
      <c r="F33" s="1">
        <f t="shared" si="0"/>
        <v>0</v>
      </c>
      <c r="G33" s="2"/>
      <c r="H33" s="1"/>
      <c r="I33" s="1">
        <f t="shared" si="1"/>
        <v>0</v>
      </c>
      <c r="J33" s="1"/>
      <c r="K33" s="5"/>
    </row>
    <row r="34" spans="1:11">
      <c r="A34" s="4"/>
      <c r="B34" s="2"/>
      <c r="C34" s="1"/>
      <c r="D34" s="1"/>
      <c r="E34" s="1"/>
      <c r="F34" s="1">
        <f t="shared" si="0"/>
        <v>0</v>
      </c>
      <c r="G34" s="2"/>
      <c r="H34" s="1"/>
      <c r="I34" s="1">
        <f t="shared" si="1"/>
        <v>0</v>
      </c>
      <c r="J34" s="1"/>
      <c r="K34" s="5"/>
    </row>
    <row r="35" spans="1:11">
      <c r="A35" s="4"/>
      <c r="B35" s="2"/>
      <c r="C35" s="1"/>
      <c r="D35" s="1"/>
      <c r="E35" s="1"/>
      <c r="F35" s="1">
        <f t="shared" si="0"/>
        <v>0</v>
      </c>
      <c r="G35" s="2"/>
      <c r="H35" s="1"/>
      <c r="I35" s="1">
        <f t="shared" si="1"/>
        <v>0</v>
      </c>
      <c r="J35" s="1"/>
      <c r="K35" s="5"/>
    </row>
    <row r="36" spans="1:11">
      <c r="A36" s="4"/>
      <c r="B36" s="2"/>
      <c r="C36" s="1"/>
      <c r="D36" s="1"/>
      <c r="E36" s="1"/>
      <c r="F36" s="1">
        <f t="shared" si="0"/>
        <v>0</v>
      </c>
      <c r="G36" s="2"/>
      <c r="H36" s="1"/>
      <c r="I36" s="1">
        <f t="shared" si="1"/>
        <v>0</v>
      </c>
      <c r="J36" s="1"/>
      <c r="K36" s="5"/>
    </row>
    <row r="37" spans="1:11">
      <c r="A37" s="4"/>
      <c r="B37" s="2"/>
      <c r="C37" s="1"/>
      <c r="D37" s="1"/>
      <c r="E37" s="1"/>
      <c r="F37" s="1">
        <f t="shared" si="0"/>
        <v>0</v>
      </c>
      <c r="G37" s="2"/>
      <c r="H37" s="1"/>
      <c r="I37" s="1">
        <f t="shared" si="1"/>
        <v>0</v>
      </c>
      <c r="J37" s="1"/>
      <c r="K37" s="5"/>
    </row>
    <row r="38" spans="1:11">
      <c r="A38" s="4"/>
      <c r="B38" s="2"/>
      <c r="C38" s="1"/>
      <c r="D38" s="1"/>
      <c r="E38" s="1"/>
      <c r="F38" s="1">
        <f t="shared" si="0"/>
        <v>0</v>
      </c>
      <c r="G38" s="2"/>
      <c r="H38" s="1"/>
      <c r="I38" s="1">
        <f t="shared" si="1"/>
        <v>0</v>
      </c>
      <c r="J38" s="1"/>
      <c r="K38" s="5"/>
    </row>
    <row r="39" spans="1:11">
      <c r="A39" s="4"/>
      <c r="B39" s="2"/>
      <c r="C39" s="1"/>
      <c r="D39" s="1"/>
      <c r="E39" s="1"/>
      <c r="F39" s="1">
        <f t="shared" si="0"/>
        <v>0</v>
      </c>
      <c r="G39" s="2"/>
      <c r="H39" s="1"/>
      <c r="I39" s="1">
        <f t="shared" si="1"/>
        <v>0</v>
      </c>
      <c r="J39" s="1"/>
      <c r="K39" s="5"/>
    </row>
    <row r="40" spans="1:11">
      <c r="A40" s="4"/>
      <c r="B40" s="2"/>
      <c r="C40" s="1"/>
      <c r="D40" s="1"/>
      <c r="E40" s="1"/>
      <c r="F40" s="1">
        <f t="shared" si="0"/>
        <v>0</v>
      </c>
      <c r="G40" s="2"/>
      <c r="H40" s="1"/>
      <c r="I40" s="1">
        <f t="shared" si="1"/>
        <v>0</v>
      </c>
      <c r="J40" s="1"/>
      <c r="K40" s="5"/>
    </row>
    <row r="41" spans="1:11">
      <c r="A41" s="4"/>
      <c r="B41" s="2"/>
      <c r="C41" s="1"/>
      <c r="D41" s="1"/>
      <c r="E41" s="1"/>
      <c r="F41" s="1">
        <f t="shared" si="0"/>
        <v>0</v>
      </c>
      <c r="G41" s="2"/>
      <c r="H41" s="1"/>
      <c r="I41" s="1">
        <f t="shared" si="1"/>
        <v>0</v>
      </c>
      <c r="J41" s="1"/>
      <c r="K41" s="5"/>
    </row>
    <row r="42" spans="1:11">
      <c r="A42" s="4"/>
      <c r="B42" s="2"/>
      <c r="C42" s="1"/>
      <c r="D42" s="1"/>
      <c r="E42" s="1"/>
      <c r="F42" s="1">
        <f t="shared" si="0"/>
        <v>0</v>
      </c>
      <c r="G42" s="2"/>
      <c r="H42" s="1"/>
      <c r="I42" s="1">
        <f t="shared" si="1"/>
        <v>0</v>
      </c>
      <c r="J42" s="1"/>
      <c r="K42" s="5"/>
    </row>
    <row r="43" spans="1:11">
      <c r="A43" s="4"/>
      <c r="B43" s="2"/>
      <c r="C43" s="1"/>
      <c r="D43" s="1"/>
      <c r="E43" s="1"/>
      <c r="F43" s="1">
        <f>D43*E43</f>
        <v>0</v>
      </c>
      <c r="G43" s="2"/>
      <c r="H43" s="1"/>
      <c r="I43" s="1">
        <f>I42+F43-H43</f>
        <v>0</v>
      </c>
      <c r="J43" s="1"/>
      <c r="K43" s="5"/>
    </row>
    <row r="44" spans="1:11">
      <c r="A44" s="4"/>
      <c r="B44" s="2"/>
      <c r="C44" s="1"/>
      <c r="D44" s="1"/>
      <c r="E44" s="1"/>
      <c r="F44" s="1">
        <f>D44*E44</f>
        <v>0</v>
      </c>
      <c r="G44" s="2"/>
      <c r="H44" s="1"/>
      <c r="I44" s="1">
        <f>I43+F44-H44</f>
        <v>0</v>
      </c>
      <c r="J44" s="1"/>
      <c r="K44" s="5"/>
    </row>
    <row r="45" spans="1:11">
      <c r="A45" s="4"/>
      <c r="B45" s="2"/>
      <c r="C45" s="1"/>
      <c r="D45" s="1"/>
      <c r="E45" s="1"/>
      <c r="F45" s="1">
        <f>D45*E45</f>
        <v>0</v>
      </c>
      <c r="G45" s="2"/>
      <c r="H45" s="1"/>
      <c r="I45" s="1">
        <f>I44+F45-H45</f>
        <v>0</v>
      </c>
      <c r="J45" s="1"/>
      <c r="K45" s="5"/>
    </row>
    <row r="46" spans="1:11">
      <c r="A46" s="4"/>
      <c r="B46" s="2"/>
      <c r="C46" s="1"/>
      <c r="D46" s="1"/>
      <c r="E46" s="1"/>
      <c r="F46" s="1">
        <f t="shared" si="0"/>
        <v>0</v>
      </c>
      <c r="G46" s="2"/>
      <c r="H46" s="1"/>
      <c r="I46" s="1">
        <f>I45+F46-H46</f>
        <v>0</v>
      </c>
      <c r="J46" s="1"/>
      <c r="K46" s="5"/>
    </row>
    <row r="47" spans="1:11">
      <c r="A47" s="8"/>
      <c r="B47" s="9"/>
      <c r="C47" s="10"/>
      <c r="D47" s="10"/>
      <c r="E47" s="10"/>
      <c r="F47" s="10">
        <f t="shared" si="0"/>
        <v>0</v>
      </c>
      <c r="G47" s="2"/>
      <c r="H47" s="10"/>
      <c r="I47" s="10">
        <f t="shared" si="1"/>
        <v>0</v>
      </c>
      <c r="J47" s="10"/>
      <c r="K47" s="11"/>
    </row>
    <row r="48" spans="1:11">
      <c r="A48" s="4"/>
      <c r="B48" s="2"/>
      <c r="C48" s="1"/>
      <c r="D48" s="1"/>
      <c r="E48" s="1"/>
      <c r="F48" s="1">
        <f>D48*E48</f>
        <v>0</v>
      </c>
      <c r="G48" s="2"/>
      <c r="H48" s="1"/>
      <c r="I48" s="1">
        <f>I47+F48-H48</f>
        <v>0</v>
      </c>
      <c r="J48" s="1"/>
      <c r="K48" s="5"/>
    </row>
    <row r="49" spans="1:11" ht="19.5" thickBot="1">
      <c r="A49" s="4"/>
      <c r="B49" s="19"/>
      <c r="C49" s="19"/>
      <c r="D49" s="19"/>
      <c r="E49" s="19"/>
      <c r="F49" s="19">
        <f>D49*E49</f>
        <v>0</v>
      </c>
      <c r="G49" s="19"/>
      <c r="H49" s="19"/>
      <c r="I49" s="19">
        <f>I48+F49-H49</f>
        <v>0</v>
      </c>
      <c r="J49" s="19"/>
      <c r="K49" s="20"/>
    </row>
    <row r="50" spans="1:11" ht="19.5" thickTop="1">
      <c r="A50" s="16" t="s">
        <v>86</v>
      </c>
      <c r="B50" s="9" t="s">
        <v>87</v>
      </c>
      <c r="C50" s="9"/>
      <c r="D50" s="9"/>
      <c r="E50" s="9"/>
      <c r="F50" s="9">
        <f>SUBTOTAL(109,テーブル1611[仕入金額])</f>
        <v>0</v>
      </c>
      <c r="G50" s="9"/>
      <c r="H50" s="9">
        <f>SUBTOTAL(109,テーブル1611[支払金額])</f>
        <v>0</v>
      </c>
      <c r="I50" s="9">
        <f>テーブル1611[[#Totals],[仕入金額]]-テーブル1611[[#Totals],[支払金額]]</f>
        <v>0</v>
      </c>
      <c r="J50" s="9"/>
      <c r="K50" s="17"/>
    </row>
  </sheetData>
  <phoneticPr fontId="1"/>
  <dataValidations count="4">
    <dataValidation type="list" allowBlank="1" showInputMessage="1" showErrorMessage="1" sqref="G51:G63" xr:uid="{1E05AE7B-59D7-4F6A-B44C-334C88C282F7}">
      <formula1>",合銀1,合銀,島銀,振込手数,    "</formula1>
    </dataValidation>
    <dataValidation type="list" allowBlank="1" showInputMessage="1" showErrorMessage="1" sqref="J2:K49" xr:uid="{F2645B09-FF78-4C3B-8689-9D86A1018D74}">
      <formula1>"  ,済"</formula1>
    </dataValidation>
    <dataValidation type="list" allowBlank="1" showInputMessage="1" showErrorMessage="1" sqref="G2:G49" xr:uid="{C9DF04B4-CA13-4360-944E-9371A4E53089}">
      <formula1>",合銀1,合銀,島銀,現金,振込手数,値引"</formula1>
    </dataValidation>
    <dataValidation type="list" allowBlank="1" showInputMessage="1" showErrorMessage="1" sqref="B2:B49" xr:uid="{115D462B-CC26-4EC9-A320-D4D1202D5BDF}">
      <formula1>"田原,田中,高木,勝田,森山,市村,金築,その他"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&amp;C石飛大工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43209-6FDD-4181-AEA5-3BDBEE812197}">
  <sheetPr codeName="Sheet3">
    <tabColor theme="7" tint="0.39997558519241921"/>
  </sheetPr>
  <dimension ref="A1:K48"/>
  <sheetViews>
    <sheetView zoomScale="190" zoomScaleNormal="190" workbookViewId="0">
      <pane ySplit="1" topLeftCell="A2" activePane="bottomLeft" state="frozen"/>
      <selection pane="bottomLeft" activeCell="A17" sqref="A17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88</v>
      </c>
      <c r="D2" s="2">
        <v>1</v>
      </c>
      <c r="E2" s="30">
        <v>418000</v>
      </c>
      <c r="F2" s="30">
        <f>D2*E2</f>
        <v>418000</v>
      </c>
      <c r="G2" s="30"/>
      <c r="H2" s="30"/>
      <c r="I2" s="30">
        <f>F2</f>
        <v>418000</v>
      </c>
      <c r="J2" s="30"/>
      <c r="K2" s="31" t="s">
        <v>89</v>
      </c>
    </row>
    <row r="3" spans="1:11">
      <c r="A3" s="4">
        <v>44671</v>
      </c>
      <c r="B3" s="2"/>
      <c r="C3" s="1"/>
      <c r="D3" s="1"/>
      <c r="E3" s="32"/>
      <c r="F3" s="32">
        <f t="shared" ref="F3:F47" si="0">D3*E3</f>
        <v>0</v>
      </c>
      <c r="G3" s="30" t="s">
        <v>90</v>
      </c>
      <c r="H3" s="32">
        <v>417890</v>
      </c>
      <c r="I3" s="32">
        <f>I2+F3-H3</f>
        <v>110</v>
      </c>
      <c r="J3" s="32" t="s">
        <v>89</v>
      </c>
      <c r="K3" s="31" t="s">
        <v>89</v>
      </c>
    </row>
    <row r="4" spans="1:11">
      <c r="A4" s="4">
        <v>44671</v>
      </c>
      <c r="B4" s="2"/>
      <c r="C4" s="1"/>
      <c r="D4" s="1"/>
      <c r="E4" s="32"/>
      <c r="F4" s="32">
        <f t="shared" si="0"/>
        <v>0</v>
      </c>
      <c r="G4" s="30" t="s">
        <v>91</v>
      </c>
      <c r="H4" s="32">
        <v>110</v>
      </c>
      <c r="I4" s="32">
        <f t="shared" ref="I4:I47" si="1">I3+F4-H4</f>
        <v>0</v>
      </c>
      <c r="J4" s="32" t="s">
        <v>89</v>
      </c>
      <c r="K4" s="31" t="s">
        <v>89</v>
      </c>
    </row>
    <row r="5" spans="1:11">
      <c r="A5" s="4">
        <v>44671</v>
      </c>
      <c r="B5" s="2" t="s">
        <v>92</v>
      </c>
      <c r="C5" s="1" t="s">
        <v>93</v>
      </c>
      <c r="D5" s="1">
        <v>1</v>
      </c>
      <c r="E5" s="32">
        <v>27500</v>
      </c>
      <c r="F5" s="32">
        <f t="shared" si="0"/>
        <v>27500</v>
      </c>
      <c r="G5" s="30"/>
      <c r="H5" s="32"/>
      <c r="I5" s="32">
        <f t="shared" si="1"/>
        <v>27500</v>
      </c>
      <c r="J5" s="32" t="s">
        <v>89</v>
      </c>
      <c r="K5" s="31" t="s">
        <v>89</v>
      </c>
    </row>
    <row r="6" spans="1:11">
      <c r="A6" s="48">
        <v>44701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27445</v>
      </c>
      <c r="I6" s="51">
        <f t="shared" si="1"/>
        <v>55</v>
      </c>
      <c r="J6" s="51" t="s">
        <v>89</v>
      </c>
      <c r="K6" s="53" t="s">
        <v>89</v>
      </c>
    </row>
    <row r="7" spans="1:11">
      <c r="A7" s="48">
        <v>44701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55</v>
      </c>
      <c r="I7" s="51">
        <f t="shared" si="1"/>
        <v>0</v>
      </c>
      <c r="J7" s="51" t="s">
        <v>89</v>
      </c>
      <c r="K7" s="53" t="s">
        <v>89</v>
      </c>
    </row>
    <row r="8" spans="1:11">
      <c r="A8" s="4">
        <v>44701</v>
      </c>
      <c r="B8" s="2" t="s">
        <v>92</v>
      </c>
      <c r="C8" s="1" t="s">
        <v>94</v>
      </c>
      <c r="D8" s="1">
        <v>1</v>
      </c>
      <c r="E8" s="32">
        <v>33000</v>
      </c>
      <c r="F8" s="32">
        <f t="shared" si="0"/>
        <v>33000</v>
      </c>
      <c r="G8" s="30"/>
      <c r="H8" s="32"/>
      <c r="I8" s="32">
        <f t="shared" si="1"/>
        <v>33000</v>
      </c>
      <c r="J8" s="32" t="s">
        <v>89</v>
      </c>
      <c r="K8" s="31" t="s">
        <v>89</v>
      </c>
    </row>
    <row r="9" spans="1:11">
      <c r="A9" s="48">
        <v>44732</v>
      </c>
      <c r="B9" s="49"/>
      <c r="C9" s="50"/>
      <c r="D9" s="50"/>
      <c r="E9" s="51"/>
      <c r="F9" s="51">
        <f t="shared" si="0"/>
        <v>0</v>
      </c>
      <c r="G9" s="52" t="s">
        <v>90</v>
      </c>
      <c r="H9" s="51">
        <v>32890</v>
      </c>
      <c r="I9" s="51">
        <f t="shared" si="1"/>
        <v>110</v>
      </c>
      <c r="J9" s="51" t="s">
        <v>89</v>
      </c>
      <c r="K9" s="53" t="s">
        <v>89</v>
      </c>
    </row>
    <row r="10" spans="1:11">
      <c r="A10" s="48">
        <v>44732</v>
      </c>
      <c r="B10" s="49"/>
      <c r="C10" s="50"/>
      <c r="D10" s="50"/>
      <c r="E10" s="51"/>
      <c r="F10" s="51">
        <f t="shared" si="0"/>
        <v>0</v>
      </c>
      <c r="G10" s="52" t="s">
        <v>91</v>
      </c>
      <c r="H10" s="51">
        <v>110</v>
      </c>
      <c r="I10" s="51">
        <f t="shared" si="1"/>
        <v>0</v>
      </c>
      <c r="J10" s="51" t="s">
        <v>89</v>
      </c>
      <c r="K10" s="53" t="s">
        <v>89</v>
      </c>
    </row>
    <row r="11" spans="1:11">
      <c r="A11" s="4">
        <v>44732</v>
      </c>
      <c r="B11" s="2" t="s">
        <v>95</v>
      </c>
      <c r="C11" s="1" t="s">
        <v>96</v>
      </c>
      <c r="D11" s="1">
        <v>1</v>
      </c>
      <c r="E11" s="32">
        <v>60500</v>
      </c>
      <c r="F11" s="32">
        <f t="shared" si="0"/>
        <v>60500</v>
      </c>
      <c r="G11" s="30"/>
      <c r="H11" s="32"/>
      <c r="I11" s="32">
        <f t="shared" si="1"/>
        <v>60500</v>
      </c>
      <c r="J11" s="32" t="s">
        <v>89</v>
      </c>
      <c r="K11" s="31" t="s">
        <v>89</v>
      </c>
    </row>
    <row r="12" spans="1:11">
      <c r="A12" s="48">
        <v>44762</v>
      </c>
      <c r="B12" s="49"/>
      <c r="C12" s="50"/>
      <c r="D12" s="50"/>
      <c r="E12" s="51"/>
      <c r="F12" s="51">
        <f t="shared" si="0"/>
        <v>0</v>
      </c>
      <c r="G12" s="52" t="s">
        <v>90</v>
      </c>
      <c r="H12" s="51">
        <v>60390</v>
      </c>
      <c r="I12" s="51">
        <f t="shared" si="1"/>
        <v>110</v>
      </c>
      <c r="J12" s="51" t="s">
        <v>89</v>
      </c>
      <c r="K12" s="53" t="s">
        <v>89</v>
      </c>
    </row>
    <row r="13" spans="1:11">
      <c r="A13" s="48">
        <v>44762</v>
      </c>
      <c r="B13" s="49"/>
      <c r="C13" s="50"/>
      <c r="D13" s="50"/>
      <c r="E13" s="51"/>
      <c r="F13" s="51">
        <f t="shared" si="0"/>
        <v>0</v>
      </c>
      <c r="G13" s="52" t="s">
        <v>91</v>
      </c>
      <c r="H13" s="51">
        <v>110</v>
      </c>
      <c r="I13" s="51">
        <f t="shared" si="1"/>
        <v>0</v>
      </c>
      <c r="J13" s="51" t="s">
        <v>89</v>
      </c>
      <c r="K13" s="53" t="s">
        <v>89</v>
      </c>
    </row>
    <row r="14" spans="1:11">
      <c r="A14" s="4">
        <v>44640</v>
      </c>
      <c r="B14" s="2"/>
      <c r="C14" s="1"/>
      <c r="D14" s="1">
        <v>1</v>
      </c>
      <c r="E14" s="32">
        <v>2000</v>
      </c>
      <c r="F14" s="32">
        <f t="shared" si="0"/>
        <v>2000</v>
      </c>
      <c r="G14" s="30"/>
      <c r="H14" s="32"/>
      <c r="I14" s="32">
        <f t="shared" si="1"/>
        <v>2000</v>
      </c>
      <c r="J14" s="32"/>
      <c r="K14" s="31"/>
    </row>
    <row r="15" spans="1:11">
      <c r="A15" s="4">
        <v>44640</v>
      </c>
      <c r="B15" s="2"/>
      <c r="C15" s="1"/>
      <c r="D15" s="1">
        <v>1</v>
      </c>
      <c r="E15" s="32">
        <v>3000</v>
      </c>
      <c r="F15" s="32">
        <f t="shared" si="0"/>
        <v>3000</v>
      </c>
      <c r="G15" s="30"/>
      <c r="H15" s="32"/>
      <c r="I15" s="32">
        <f t="shared" si="1"/>
        <v>5000</v>
      </c>
      <c r="J15" s="32"/>
      <c r="K15" s="31"/>
    </row>
    <row r="16" spans="1:11">
      <c r="A16" s="4">
        <v>44640</v>
      </c>
      <c r="B16" s="2"/>
      <c r="C16" s="1"/>
      <c r="D16" s="1">
        <v>1</v>
      </c>
      <c r="E16" s="32">
        <v>2000</v>
      </c>
      <c r="F16" s="32">
        <f t="shared" si="0"/>
        <v>2000</v>
      </c>
      <c r="G16" s="30"/>
      <c r="H16" s="32"/>
      <c r="I16" s="32">
        <f t="shared" si="1"/>
        <v>7000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7000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7000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7000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7000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7000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7000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7000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7000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7000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7000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7000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7000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7000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7000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7000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7000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7000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7000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7000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7000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7000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7000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7000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7000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7000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7000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7000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7000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7000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7000</v>
      </c>
      <c r="J46" s="32"/>
      <c r="K46" s="31"/>
    </row>
    <row r="47" spans="1:11" ht="19.5" thickBot="1">
      <c r="A47" s="18"/>
      <c r="B47" s="19"/>
      <c r="C47" s="19"/>
      <c r="D47" s="19"/>
      <c r="E47" s="33"/>
      <c r="F47" s="33">
        <f t="shared" si="0"/>
        <v>0</v>
      </c>
      <c r="G47" s="33"/>
      <c r="H47" s="33"/>
      <c r="I47" s="33">
        <f t="shared" si="1"/>
        <v>7000</v>
      </c>
      <c r="J47" s="33"/>
      <c r="K47" s="34"/>
    </row>
    <row r="48" spans="1:11" ht="19.5" thickTop="1">
      <c r="A48" s="16" t="s">
        <v>86</v>
      </c>
      <c r="B48" s="9"/>
      <c r="C48" s="9"/>
      <c r="D48" s="9"/>
      <c r="E48" s="42"/>
      <c r="F48" s="42">
        <f>SUBTOTAL(109,テーブル138[仕入金額])</f>
        <v>546000</v>
      </c>
      <c r="G48" s="42"/>
      <c r="H48" s="42">
        <f>SUBTOTAL(109,テーブル138[支払金額])</f>
        <v>539000</v>
      </c>
      <c r="I48" s="42">
        <f>テーブル138[[#Totals],[仕入金額]]-テーブル138[[#Totals],[支払金額]]</f>
        <v>7000</v>
      </c>
      <c r="J48" s="42"/>
      <c r="K48" s="43">
        <f>SUBTOTAL(103,テーブル138[裕子])</f>
        <v>12</v>
      </c>
    </row>
  </sheetData>
  <phoneticPr fontId="1"/>
  <dataValidations count="4">
    <dataValidation type="list" allowBlank="1" showInputMessage="1" showErrorMessage="1" sqref="G49:G61" xr:uid="{1B736844-EF37-40A9-96B4-A645BC58F35A}">
      <formula1>",合銀1,合銀,島銀,振込手数,    "</formula1>
    </dataValidation>
    <dataValidation type="list" allowBlank="1" showInputMessage="1" showErrorMessage="1" sqref="J2:K47" xr:uid="{732A7097-887F-425C-852F-55AB995DD958}">
      <formula1>"  ,済"</formula1>
    </dataValidation>
    <dataValidation type="list" allowBlank="1" showInputMessage="1" showErrorMessage="1" sqref="B2:B47" xr:uid="{FDC42B8E-3C91-4C72-A8AA-93B7C9BAE1DF}">
      <formula1>"田原,田中,高木,勝田,森山,市村,金築,その他"</formula1>
    </dataValidation>
    <dataValidation type="list" allowBlank="1" showInputMessage="1" showErrorMessage="1" sqref="G2:G47" xr:uid="{2AF2A4E6-E6A8-4418-905F-400C5F944E42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&amp;C出雲採石</oddHead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6786C-E812-4AE6-9C56-1A14C9AD8376}">
  <sheetPr codeName="Sheet4">
    <tabColor theme="7" tint="0.39997558519241921"/>
  </sheetPr>
  <dimension ref="A1:K50"/>
  <sheetViews>
    <sheetView workbookViewId="0">
      <pane ySplit="1" topLeftCell="A41" activePane="bottomLeft" state="frozen"/>
      <selection pane="bottomLeft" activeCell="O5" sqref="O5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3.25" bestFit="1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88</v>
      </c>
      <c r="D2" s="2">
        <v>1</v>
      </c>
      <c r="E2" s="30">
        <v>47520</v>
      </c>
      <c r="F2" s="30">
        <f>D2*E2</f>
        <v>47520</v>
      </c>
      <c r="G2" s="30"/>
      <c r="H2" s="30"/>
      <c r="I2" s="30">
        <f>F2-H2</f>
        <v>47520</v>
      </c>
      <c r="J2" s="30"/>
      <c r="K2" s="31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47410</v>
      </c>
      <c r="I3" s="51">
        <f>I2+F3-H3</f>
        <v>110</v>
      </c>
      <c r="J3" s="51" t="s">
        <v>89</v>
      </c>
      <c r="K3" s="53" t="s">
        <v>89</v>
      </c>
    </row>
    <row r="4" spans="1:11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3" t="s">
        <v>89</v>
      </c>
    </row>
    <row r="5" spans="1:11">
      <c r="A5" s="4"/>
      <c r="B5" s="2"/>
      <c r="C5" s="1"/>
      <c r="D5" s="1"/>
      <c r="E5" s="32"/>
      <c r="F5" s="32">
        <f t="shared" si="0"/>
        <v>0</v>
      </c>
      <c r="G5" s="30"/>
      <c r="H5" s="32"/>
      <c r="I5" s="32">
        <f t="shared" si="1"/>
        <v>0</v>
      </c>
      <c r="J5" s="32"/>
      <c r="K5" s="31"/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4"/>
      <c r="B48" s="2"/>
      <c r="C48" s="1"/>
      <c r="D48" s="1"/>
      <c r="E48" s="32"/>
      <c r="F48" s="32">
        <f>D48*E48</f>
        <v>0</v>
      </c>
      <c r="G48" s="30"/>
      <c r="H48" s="32"/>
      <c r="I48" s="32">
        <f>I47+F48-H48</f>
        <v>0</v>
      </c>
      <c r="J48" s="32"/>
      <c r="K48" s="31"/>
    </row>
    <row r="49" spans="1:11" ht="19.5" thickBot="1">
      <c r="A49" s="18"/>
      <c r="B49" s="19"/>
      <c r="C49" s="19"/>
      <c r="D49" s="19"/>
      <c r="E49" s="33"/>
      <c r="F49" s="33">
        <f>D49*E49</f>
        <v>0</v>
      </c>
      <c r="G49" s="33"/>
      <c r="H49" s="33"/>
      <c r="I49" s="33">
        <f>I48+F49-H49</f>
        <v>0</v>
      </c>
      <c r="J49" s="33"/>
      <c r="K49" s="34"/>
    </row>
    <row r="50" spans="1:11" ht="19.5" thickTop="1">
      <c r="A50" s="16" t="s">
        <v>86</v>
      </c>
      <c r="B50" s="9"/>
      <c r="C50" s="9"/>
      <c r="D50" s="9"/>
      <c r="E50" s="35"/>
      <c r="F50" s="35">
        <f>SUBTOTAL(109,テーブル1610[仕入金額])</f>
        <v>47520</v>
      </c>
      <c r="G50" s="35"/>
      <c r="H50" s="35">
        <f>SUBTOTAL(109,テーブル1610[支払金額])</f>
        <v>47520</v>
      </c>
      <c r="I50" s="35">
        <f>テーブル1610[[#Totals],[仕入金額]]-テーブル1610[[#Totals],[支払金額]]</f>
        <v>0</v>
      </c>
      <c r="J50" s="35"/>
      <c r="K50" s="36">
        <f>SUBTOTAL(103,テーブル1610[裕子])</f>
        <v>3</v>
      </c>
    </row>
  </sheetData>
  <phoneticPr fontId="1"/>
  <dataValidations count="4">
    <dataValidation type="list" allowBlank="1" showInputMessage="1" showErrorMessage="1" sqref="G51:G63" xr:uid="{7B7C244B-86CD-4B69-A95D-9D290FD564B9}">
      <formula1>",合銀1,合銀,島銀,振込手数,    "</formula1>
    </dataValidation>
    <dataValidation type="list" allowBlank="1" showInputMessage="1" showErrorMessage="1" sqref="J2:K49" xr:uid="{CB220D30-BC89-476C-9126-ADAED81C2F08}">
      <formula1>"  ,済"</formula1>
    </dataValidation>
    <dataValidation type="list" allowBlank="1" showInputMessage="1" showErrorMessage="1" sqref="G2:G49" xr:uid="{C9215F2C-CD26-4C76-9821-4B4531674333}">
      <formula1>",合銀1,合銀,島銀,現金,振込手数,値引"</formula1>
    </dataValidation>
    <dataValidation type="list" allowBlank="1" showInputMessage="1" showErrorMessage="1" sqref="B2:B49" xr:uid="{3CC207DD-6556-41DC-90DB-6A73D3E8EAAD}">
      <formula1>"田原,田中,高木,勝田,森山,市村,金築,その他"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&amp;C出雲BCクリーン</oddHead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259E4-38E3-41F0-BC5E-E933D9F75EB3}">
  <sheetPr codeName="Sheet5">
    <tabColor theme="7" tint="0.39997558519241921"/>
  </sheetPr>
  <dimension ref="A1:K48"/>
  <sheetViews>
    <sheetView workbookViewId="0">
      <pane ySplit="1" topLeftCell="A2" activePane="bottomLeft" state="frozen"/>
      <selection pane="bottomLeft" activeCell="E2" sqref="E2:K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/>
      <c r="D2" s="2"/>
      <c r="E2" s="2"/>
      <c r="F2" s="2">
        <f>D2*E2</f>
        <v>0</v>
      </c>
      <c r="G2" s="2"/>
      <c r="H2" s="2"/>
      <c r="I2" s="2">
        <f>F2-H2</f>
        <v>0</v>
      </c>
      <c r="J2" s="2"/>
      <c r="K2" s="5"/>
    </row>
    <row r="3" spans="1:11">
      <c r="A3" s="4"/>
      <c r="B3" s="2"/>
      <c r="C3" s="1"/>
      <c r="D3" s="1"/>
      <c r="E3" s="1"/>
      <c r="F3" s="1">
        <f t="shared" ref="F3:F47" si="0">D3*E3</f>
        <v>0</v>
      </c>
      <c r="G3" s="1"/>
      <c r="H3" s="1"/>
      <c r="I3" s="1">
        <f>I2+F3-H3</f>
        <v>0</v>
      </c>
      <c r="J3" s="1"/>
      <c r="K3" s="5"/>
    </row>
    <row r="4" spans="1:11">
      <c r="A4" s="4"/>
      <c r="B4" s="2"/>
      <c r="C4" s="1"/>
      <c r="D4" s="1"/>
      <c r="E4" s="1"/>
      <c r="F4" s="1">
        <f t="shared" si="0"/>
        <v>0</v>
      </c>
      <c r="G4" s="1"/>
      <c r="H4" s="1"/>
      <c r="I4" s="1">
        <f t="shared" ref="I4:I47" si="1">I3+F4-H4</f>
        <v>0</v>
      </c>
      <c r="J4" s="1"/>
      <c r="K4" s="5"/>
    </row>
    <row r="5" spans="1:11">
      <c r="A5" s="4"/>
      <c r="B5" s="2"/>
      <c r="C5" s="1"/>
      <c r="D5" s="1"/>
      <c r="E5" s="1"/>
      <c r="F5" s="1">
        <f t="shared" si="0"/>
        <v>0</v>
      </c>
      <c r="G5" s="1"/>
      <c r="H5" s="1"/>
      <c r="I5" s="1">
        <f t="shared" si="1"/>
        <v>0</v>
      </c>
      <c r="J5" s="1"/>
      <c r="K5" s="5"/>
    </row>
    <row r="6" spans="1:11">
      <c r="A6" s="4"/>
      <c r="B6" s="2"/>
      <c r="C6" s="1"/>
      <c r="D6" s="1"/>
      <c r="E6" s="1"/>
      <c r="F6" s="1">
        <f t="shared" si="0"/>
        <v>0</v>
      </c>
      <c r="G6" s="1"/>
      <c r="H6" s="1"/>
      <c r="I6" s="1">
        <f t="shared" si="1"/>
        <v>0</v>
      </c>
      <c r="J6" s="1"/>
      <c r="K6" s="5"/>
    </row>
    <row r="7" spans="1:11">
      <c r="A7" s="4"/>
      <c r="B7" s="2"/>
      <c r="C7" s="1"/>
      <c r="D7" s="1"/>
      <c r="E7" s="1"/>
      <c r="F7" s="1">
        <f t="shared" si="0"/>
        <v>0</v>
      </c>
      <c r="G7" s="1"/>
      <c r="H7" s="1"/>
      <c r="I7" s="1">
        <f t="shared" si="1"/>
        <v>0</v>
      </c>
      <c r="J7" s="1"/>
      <c r="K7" s="5"/>
    </row>
    <row r="8" spans="1:11">
      <c r="A8" s="4"/>
      <c r="B8" s="2"/>
      <c r="C8" s="1"/>
      <c r="D8" s="1"/>
      <c r="E8" s="1"/>
      <c r="F8" s="1">
        <f t="shared" si="0"/>
        <v>0</v>
      </c>
      <c r="G8" s="1"/>
      <c r="H8" s="1"/>
      <c r="I8" s="1">
        <f t="shared" si="1"/>
        <v>0</v>
      </c>
      <c r="J8" s="1"/>
      <c r="K8" s="5"/>
    </row>
    <row r="9" spans="1:11">
      <c r="A9" s="4"/>
      <c r="B9" s="2"/>
      <c r="C9" s="1"/>
      <c r="D9" s="1"/>
      <c r="E9" s="1"/>
      <c r="F9" s="1">
        <f t="shared" si="0"/>
        <v>0</v>
      </c>
      <c r="G9" s="1"/>
      <c r="H9" s="1"/>
      <c r="I9" s="1">
        <f t="shared" si="1"/>
        <v>0</v>
      </c>
      <c r="J9" s="1"/>
      <c r="K9" s="5"/>
    </row>
    <row r="10" spans="1:11">
      <c r="A10" s="4"/>
      <c r="B10" s="2"/>
      <c r="C10" s="1"/>
      <c r="D10" s="1"/>
      <c r="E10" s="1"/>
      <c r="F10" s="1">
        <f t="shared" si="0"/>
        <v>0</v>
      </c>
      <c r="G10" s="1"/>
      <c r="H10" s="1"/>
      <c r="I10" s="1">
        <f t="shared" si="1"/>
        <v>0</v>
      </c>
      <c r="J10" s="1"/>
      <c r="K10" s="5"/>
    </row>
    <row r="11" spans="1:11">
      <c r="A11" s="4"/>
      <c r="B11" s="2"/>
      <c r="C11" s="1"/>
      <c r="D11" s="1"/>
      <c r="E11" s="1"/>
      <c r="F11" s="1">
        <f t="shared" si="0"/>
        <v>0</v>
      </c>
      <c r="G11" s="1"/>
      <c r="H11" s="1"/>
      <c r="I11" s="1">
        <f t="shared" si="1"/>
        <v>0</v>
      </c>
      <c r="J11" s="1"/>
      <c r="K11" s="5"/>
    </row>
    <row r="12" spans="1:11">
      <c r="A12" s="4"/>
      <c r="B12" s="2"/>
      <c r="C12" s="1"/>
      <c r="D12" s="1"/>
      <c r="E12" s="1"/>
      <c r="F12" s="1">
        <f t="shared" si="0"/>
        <v>0</v>
      </c>
      <c r="G12" s="1"/>
      <c r="H12" s="1"/>
      <c r="I12" s="1">
        <f t="shared" si="1"/>
        <v>0</v>
      </c>
      <c r="J12" s="1"/>
      <c r="K12" s="5"/>
    </row>
    <row r="13" spans="1:11">
      <c r="A13" s="4"/>
      <c r="B13" s="2"/>
      <c r="C13" s="1"/>
      <c r="D13" s="1"/>
      <c r="E13" s="1"/>
      <c r="F13" s="1">
        <f t="shared" si="0"/>
        <v>0</v>
      </c>
      <c r="G13" s="1"/>
      <c r="H13" s="1"/>
      <c r="I13" s="1">
        <f t="shared" si="1"/>
        <v>0</v>
      </c>
      <c r="J13" s="1"/>
      <c r="K13" s="5"/>
    </row>
    <row r="14" spans="1:11">
      <c r="A14" s="4"/>
      <c r="B14" s="2"/>
      <c r="C14" s="1"/>
      <c r="D14" s="1"/>
      <c r="E14" s="1"/>
      <c r="F14" s="1">
        <f t="shared" si="0"/>
        <v>0</v>
      </c>
      <c r="G14" s="1"/>
      <c r="H14" s="1"/>
      <c r="I14" s="1">
        <f t="shared" si="1"/>
        <v>0</v>
      </c>
      <c r="J14" s="1"/>
      <c r="K14" s="5"/>
    </row>
    <row r="15" spans="1:11">
      <c r="A15" s="4"/>
      <c r="B15" s="2"/>
      <c r="C15" s="1"/>
      <c r="D15" s="1"/>
      <c r="E15" s="1"/>
      <c r="F15" s="1">
        <f t="shared" si="0"/>
        <v>0</v>
      </c>
      <c r="G15" s="1"/>
      <c r="H15" s="1"/>
      <c r="I15" s="1">
        <f t="shared" si="1"/>
        <v>0</v>
      </c>
      <c r="J15" s="1"/>
      <c r="K15" s="5"/>
    </row>
    <row r="16" spans="1:11">
      <c r="A16" s="4"/>
      <c r="B16" s="2"/>
      <c r="C16" s="1"/>
      <c r="D16" s="1"/>
      <c r="E16" s="1"/>
      <c r="F16" s="1">
        <f t="shared" si="0"/>
        <v>0</v>
      </c>
      <c r="G16" s="1"/>
      <c r="H16" s="1"/>
      <c r="I16" s="1">
        <f t="shared" si="1"/>
        <v>0</v>
      </c>
      <c r="J16" s="1"/>
      <c r="K16" s="5"/>
    </row>
    <row r="17" spans="1:11">
      <c r="A17" s="4"/>
      <c r="B17" s="2"/>
      <c r="C17" s="1"/>
      <c r="D17" s="1"/>
      <c r="E17" s="1"/>
      <c r="F17" s="1">
        <f t="shared" si="0"/>
        <v>0</v>
      </c>
      <c r="G17" s="1"/>
      <c r="H17" s="1"/>
      <c r="I17" s="1">
        <f t="shared" si="1"/>
        <v>0</v>
      </c>
      <c r="J17" s="1"/>
      <c r="K17" s="5"/>
    </row>
    <row r="18" spans="1:11">
      <c r="A18" s="4"/>
      <c r="B18" s="2"/>
      <c r="C18" s="1"/>
      <c r="D18" s="1"/>
      <c r="E18" s="1"/>
      <c r="F18" s="1">
        <f t="shared" si="0"/>
        <v>0</v>
      </c>
      <c r="G18" s="1"/>
      <c r="H18" s="1"/>
      <c r="I18" s="1">
        <f t="shared" si="1"/>
        <v>0</v>
      </c>
      <c r="J18" s="1"/>
      <c r="K18" s="5"/>
    </row>
    <row r="19" spans="1:11">
      <c r="A19" s="4"/>
      <c r="B19" s="2"/>
      <c r="C19" s="1"/>
      <c r="D19" s="1"/>
      <c r="E19" s="1"/>
      <c r="F19" s="1">
        <f t="shared" si="0"/>
        <v>0</v>
      </c>
      <c r="G19" s="1"/>
      <c r="H19" s="1"/>
      <c r="I19" s="1">
        <f t="shared" si="1"/>
        <v>0</v>
      </c>
      <c r="J19" s="1"/>
      <c r="K19" s="5"/>
    </row>
    <row r="20" spans="1:11">
      <c r="A20" s="4"/>
      <c r="B20" s="2"/>
      <c r="C20" s="1"/>
      <c r="D20" s="1"/>
      <c r="E20" s="1"/>
      <c r="F20" s="1">
        <f t="shared" si="0"/>
        <v>0</v>
      </c>
      <c r="G20" s="1"/>
      <c r="H20" s="1"/>
      <c r="I20" s="1">
        <f t="shared" si="1"/>
        <v>0</v>
      </c>
      <c r="J20" s="1"/>
      <c r="K20" s="5"/>
    </row>
    <row r="21" spans="1:11">
      <c r="A21" s="4"/>
      <c r="B21" s="2"/>
      <c r="C21" s="1"/>
      <c r="D21" s="1"/>
      <c r="E21" s="1"/>
      <c r="F21" s="1">
        <f t="shared" si="0"/>
        <v>0</v>
      </c>
      <c r="G21" s="1"/>
      <c r="H21" s="1"/>
      <c r="I21" s="1">
        <f t="shared" si="1"/>
        <v>0</v>
      </c>
      <c r="J21" s="1"/>
      <c r="K21" s="5"/>
    </row>
    <row r="22" spans="1:11">
      <c r="A22" s="4"/>
      <c r="B22" s="2"/>
      <c r="C22" s="1"/>
      <c r="D22" s="1"/>
      <c r="E22" s="1"/>
      <c r="F22" s="1">
        <f t="shared" si="0"/>
        <v>0</v>
      </c>
      <c r="G22" s="1"/>
      <c r="H22" s="1"/>
      <c r="I22" s="1">
        <f t="shared" si="1"/>
        <v>0</v>
      </c>
      <c r="J22" s="1"/>
      <c r="K22" s="5"/>
    </row>
    <row r="23" spans="1:11">
      <c r="A23" s="4"/>
      <c r="B23" s="2"/>
      <c r="C23" s="1"/>
      <c r="D23" s="1"/>
      <c r="E23" s="1"/>
      <c r="F23" s="1">
        <f t="shared" si="0"/>
        <v>0</v>
      </c>
      <c r="G23" s="1"/>
      <c r="H23" s="1"/>
      <c r="I23" s="1">
        <f t="shared" si="1"/>
        <v>0</v>
      </c>
      <c r="J23" s="1"/>
      <c r="K23" s="5"/>
    </row>
    <row r="24" spans="1:11">
      <c r="A24" s="4"/>
      <c r="B24" s="2"/>
      <c r="C24" s="1"/>
      <c r="D24" s="1"/>
      <c r="E24" s="1"/>
      <c r="F24" s="1">
        <f t="shared" si="0"/>
        <v>0</v>
      </c>
      <c r="G24" s="1"/>
      <c r="H24" s="1"/>
      <c r="I24" s="1">
        <f t="shared" si="1"/>
        <v>0</v>
      </c>
      <c r="J24" s="1"/>
      <c r="K24" s="5"/>
    </row>
    <row r="25" spans="1:11">
      <c r="A25" s="4"/>
      <c r="B25" s="2"/>
      <c r="C25" s="1"/>
      <c r="D25" s="1"/>
      <c r="E25" s="1"/>
      <c r="F25" s="1">
        <f t="shared" si="0"/>
        <v>0</v>
      </c>
      <c r="G25" s="1"/>
      <c r="H25" s="1"/>
      <c r="I25" s="1">
        <f t="shared" si="1"/>
        <v>0</v>
      </c>
      <c r="J25" s="1"/>
      <c r="K25" s="5"/>
    </row>
    <row r="26" spans="1:11">
      <c r="A26" s="4"/>
      <c r="B26" s="2"/>
      <c r="C26" s="1"/>
      <c r="D26" s="1"/>
      <c r="E26" s="1"/>
      <c r="F26" s="1">
        <f t="shared" si="0"/>
        <v>0</v>
      </c>
      <c r="G26" s="1"/>
      <c r="H26" s="1"/>
      <c r="I26" s="1">
        <f t="shared" si="1"/>
        <v>0</v>
      </c>
      <c r="J26" s="1"/>
      <c r="K26" s="5"/>
    </row>
    <row r="27" spans="1:11">
      <c r="A27" s="4"/>
      <c r="B27" s="2"/>
      <c r="C27" s="1"/>
      <c r="D27" s="1"/>
      <c r="E27" s="1"/>
      <c r="F27" s="1">
        <f t="shared" si="0"/>
        <v>0</v>
      </c>
      <c r="G27" s="1"/>
      <c r="H27" s="1"/>
      <c r="I27" s="1">
        <f t="shared" si="1"/>
        <v>0</v>
      </c>
      <c r="J27" s="1"/>
      <c r="K27" s="5"/>
    </row>
    <row r="28" spans="1:11">
      <c r="A28" s="4"/>
      <c r="B28" s="2"/>
      <c r="C28" s="1"/>
      <c r="D28" s="1"/>
      <c r="E28" s="1"/>
      <c r="F28" s="1">
        <f t="shared" si="0"/>
        <v>0</v>
      </c>
      <c r="G28" s="1"/>
      <c r="H28" s="1"/>
      <c r="I28" s="1">
        <f t="shared" si="1"/>
        <v>0</v>
      </c>
      <c r="J28" s="1"/>
      <c r="K28" s="5"/>
    </row>
    <row r="29" spans="1:11">
      <c r="A29" s="4"/>
      <c r="B29" s="2"/>
      <c r="C29" s="1"/>
      <c r="D29" s="1"/>
      <c r="E29" s="1"/>
      <c r="F29" s="1">
        <f t="shared" si="0"/>
        <v>0</v>
      </c>
      <c r="G29" s="1"/>
      <c r="H29" s="1"/>
      <c r="I29" s="1">
        <f t="shared" si="1"/>
        <v>0</v>
      </c>
      <c r="J29" s="1"/>
      <c r="K29" s="5"/>
    </row>
    <row r="30" spans="1:11">
      <c r="A30" s="4"/>
      <c r="B30" s="2"/>
      <c r="C30" s="1"/>
      <c r="D30" s="1"/>
      <c r="E30" s="1"/>
      <c r="F30" s="1">
        <f t="shared" si="0"/>
        <v>0</v>
      </c>
      <c r="G30" s="1"/>
      <c r="H30" s="1"/>
      <c r="I30" s="1">
        <f t="shared" si="1"/>
        <v>0</v>
      </c>
      <c r="J30" s="1"/>
      <c r="K30" s="5"/>
    </row>
    <row r="31" spans="1:11">
      <c r="A31" s="4"/>
      <c r="B31" s="2"/>
      <c r="C31" s="1"/>
      <c r="D31" s="1"/>
      <c r="E31" s="1"/>
      <c r="F31" s="1">
        <f t="shared" si="0"/>
        <v>0</v>
      </c>
      <c r="G31" s="1"/>
      <c r="H31" s="1"/>
      <c r="I31" s="1">
        <f t="shared" si="1"/>
        <v>0</v>
      </c>
      <c r="J31" s="1"/>
      <c r="K31" s="5"/>
    </row>
    <row r="32" spans="1:11">
      <c r="A32" s="4"/>
      <c r="B32" s="2"/>
      <c r="C32" s="1"/>
      <c r="D32" s="1"/>
      <c r="E32" s="1"/>
      <c r="F32" s="1">
        <f t="shared" si="0"/>
        <v>0</v>
      </c>
      <c r="G32" s="1"/>
      <c r="H32" s="1"/>
      <c r="I32" s="1">
        <f t="shared" si="1"/>
        <v>0</v>
      </c>
      <c r="J32" s="1"/>
      <c r="K32" s="5"/>
    </row>
    <row r="33" spans="1:11">
      <c r="A33" s="4"/>
      <c r="B33" s="2"/>
      <c r="C33" s="1"/>
      <c r="D33" s="1"/>
      <c r="E33" s="1"/>
      <c r="F33" s="1">
        <f t="shared" si="0"/>
        <v>0</v>
      </c>
      <c r="G33" s="1"/>
      <c r="H33" s="1"/>
      <c r="I33" s="1">
        <f t="shared" si="1"/>
        <v>0</v>
      </c>
      <c r="J33" s="1"/>
      <c r="K33" s="5"/>
    </row>
    <row r="34" spans="1:11">
      <c r="A34" s="4"/>
      <c r="B34" s="2"/>
      <c r="C34" s="1"/>
      <c r="D34" s="1"/>
      <c r="E34" s="1"/>
      <c r="F34" s="1">
        <f t="shared" si="0"/>
        <v>0</v>
      </c>
      <c r="G34" s="1"/>
      <c r="H34" s="1"/>
      <c r="I34" s="1">
        <f t="shared" si="1"/>
        <v>0</v>
      </c>
      <c r="J34" s="1"/>
      <c r="K34" s="5"/>
    </row>
    <row r="35" spans="1:11">
      <c r="A35" s="4"/>
      <c r="B35" s="2"/>
      <c r="C35" s="1"/>
      <c r="D35" s="1"/>
      <c r="E35" s="1"/>
      <c r="F35" s="1">
        <f t="shared" si="0"/>
        <v>0</v>
      </c>
      <c r="G35" s="1"/>
      <c r="H35" s="1"/>
      <c r="I35" s="1">
        <f t="shared" si="1"/>
        <v>0</v>
      </c>
      <c r="J35" s="1"/>
      <c r="K35" s="5"/>
    </row>
    <row r="36" spans="1:11">
      <c r="A36" s="4"/>
      <c r="B36" s="2"/>
      <c r="C36" s="1"/>
      <c r="D36" s="1"/>
      <c r="E36" s="1"/>
      <c r="F36" s="1">
        <f t="shared" si="0"/>
        <v>0</v>
      </c>
      <c r="G36" s="1"/>
      <c r="H36" s="1"/>
      <c r="I36" s="1">
        <f t="shared" si="1"/>
        <v>0</v>
      </c>
      <c r="J36" s="1"/>
      <c r="K36" s="5"/>
    </row>
    <row r="37" spans="1:11">
      <c r="A37" s="4"/>
      <c r="B37" s="2"/>
      <c r="C37" s="1"/>
      <c r="D37" s="1"/>
      <c r="E37" s="1"/>
      <c r="F37" s="1">
        <f t="shared" si="0"/>
        <v>0</v>
      </c>
      <c r="G37" s="1"/>
      <c r="H37" s="1"/>
      <c r="I37" s="1">
        <f t="shared" si="1"/>
        <v>0</v>
      </c>
      <c r="J37" s="1"/>
      <c r="K37" s="5"/>
    </row>
    <row r="38" spans="1:11">
      <c r="A38" s="4"/>
      <c r="B38" s="2"/>
      <c r="C38" s="1"/>
      <c r="D38" s="1"/>
      <c r="E38" s="1"/>
      <c r="F38" s="1">
        <f t="shared" si="0"/>
        <v>0</v>
      </c>
      <c r="G38" s="1"/>
      <c r="H38" s="1"/>
      <c r="I38" s="1">
        <f t="shared" si="1"/>
        <v>0</v>
      </c>
      <c r="J38" s="1"/>
      <c r="K38" s="5"/>
    </row>
    <row r="39" spans="1:11">
      <c r="A39" s="4"/>
      <c r="B39" s="2"/>
      <c r="C39" s="1"/>
      <c r="D39" s="1"/>
      <c r="E39" s="1"/>
      <c r="F39" s="1">
        <f t="shared" si="0"/>
        <v>0</v>
      </c>
      <c r="G39" s="1"/>
      <c r="H39" s="1"/>
      <c r="I39" s="1">
        <f t="shared" si="1"/>
        <v>0</v>
      </c>
      <c r="J39" s="1"/>
      <c r="K39" s="5"/>
    </row>
    <row r="40" spans="1:11">
      <c r="A40" s="4"/>
      <c r="B40" s="2"/>
      <c r="C40" s="1"/>
      <c r="D40" s="1"/>
      <c r="E40" s="1"/>
      <c r="F40" s="1">
        <f t="shared" si="0"/>
        <v>0</v>
      </c>
      <c r="G40" s="1"/>
      <c r="H40" s="1"/>
      <c r="I40" s="1">
        <f t="shared" si="1"/>
        <v>0</v>
      </c>
      <c r="J40" s="1"/>
      <c r="K40" s="5"/>
    </row>
    <row r="41" spans="1:11">
      <c r="A41" s="4"/>
      <c r="B41" s="2"/>
      <c r="C41" s="1"/>
      <c r="D41" s="1"/>
      <c r="E41" s="1"/>
      <c r="F41" s="1">
        <f t="shared" si="0"/>
        <v>0</v>
      </c>
      <c r="G41" s="1"/>
      <c r="H41" s="1"/>
      <c r="I41" s="1">
        <f t="shared" si="1"/>
        <v>0</v>
      </c>
      <c r="J41" s="1"/>
      <c r="K41" s="5"/>
    </row>
    <row r="42" spans="1:11">
      <c r="A42" s="4"/>
      <c r="B42" s="2"/>
      <c r="C42" s="1"/>
      <c r="D42" s="1"/>
      <c r="E42" s="1"/>
      <c r="F42" s="1">
        <f t="shared" si="0"/>
        <v>0</v>
      </c>
      <c r="G42" s="1"/>
      <c r="H42" s="1"/>
      <c r="I42" s="1">
        <f t="shared" si="1"/>
        <v>0</v>
      </c>
      <c r="J42" s="1"/>
      <c r="K42" s="5"/>
    </row>
    <row r="43" spans="1:11">
      <c r="A43" s="4"/>
      <c r="B43" s="2"/>
      <c r="C43" s="1"/>
      <c r="D43" s="1"/>
      <c r="E43" s="1"/>
      <c r="F43" s="1">
        <f>D43*E43</f>
        <v>0</v>
      </c>
      <c r="G43" s="1"/>
      <c r="H43" s="1"/>
      <c r="I43" s="1">
        <f>I42+F43-H43</f>
        <v>0</v>
      </c>
      <c r="J43" s="1"/>
      <c r="K43" s="5"/>
    </row>
    <row r="44" spans="1:11">
      <c r="A44" s="4"/>
      <c r="B44" s="2"/>
      <c r="C44" s="1"/>
      <c r="D44" s="1"/>
      <c r="E44" s="1"/>
      <c r="F44" s="1">
        <f>D44*E44</f>
        <v>0</v>
      </c>
      <c r="G44" s="1"/>
      <c r="H44" s="1"/>
      <c r="I44" s="1">
        <f>I43+F44-H44</f>
        <v>0</v>
      </c>
      <c r="J44" s="1"/>
      <c r="K44" s="5"/>
    </row>
    <row r="45" spans="1:11">
      <c r="A45" s="4"/>
      <c r="B45" s="2"/>
      <c r="C45" s="1"/>
      <c r="D45" s="1"/>
      <c r="E45" s="1"/>
      <c r="F45" s="1">
        <f>D45*E45</f>
        <v>0</v>
      </c>
      <c r="G45" s="1"/>
      <c r="H45" s="1"/>
      <c r="I45" s="1">
        <f>I44+F45-H45</f>
        <v>0</v>
      </c>
      <c r="J45" s="1"/>
      <c r="K45" s="5"/>
    </row>
    <row r="46" spans="1:11">
      <c r="A46" s="4"/>
      <c r="B46" s="2"/>
      <c r="C46" s="1"/>
      <c r="D46" s="1"/>
      <c r="E46" s="1"/>
      <c r="F46" s="1">
        <f t="shared" si="0"/>
        <v>0</v>
      </c>
      <c r="G46" s="1"/>
      <c r="H46" s="1"/>
      <c r="I46" s="1">
        <f>I45+F46-H46</f>
        <v>0</v>
      </c>
      <c r="J46" s="1"/>
      <c r="K46" s="5"/>
    </row>
    <row r="47" spans="1:11">
      <c r="A47" s="8"/>
      <c r="B47" s="9"/>
      <c r="C47" s="10"/>
      <c r="D47" s="10"/>
      <c r="E47" s="10"/>
      <c r="F47" s="10">
        <f t="shared" si="0"/>
        <v>0</v>
      </c>
      <c r="G47" s="10"/>
      <c r="H47" s="10"/>
      <c r="I47" s="10">
        <f t="shared" si="1"/>
        <v>0</v>
      </c>
      <c r="J47" s="10"/>
      <c r="K47" s="11"/>
    </row>
    <row r="48" spans="1:11">
      <c r="A48" s="16" t="s">
        <v>86</v>
      </c>
      <c r="B48" s="9"/>
      <c r="C48" s="9"/>
      <c r="D48" s="9"/>
      <c r="E48" s="9"/>
      <c r="F48" s="9">
        <f>SUBTOTAL(109,テーブル1389[仕入金額])</f>
        <v>0</v>
      </c>
      <c r="G48" s="9"/>
      <c r="H48" s="9">
        <f>SUBTOTAL(109,テーブル1389[支払金額])</f>
        <v>0</v>
      </c>
      <c r="I48" s="9">
        <f>テーブル1389[[#Totals],[仕入金額]]-テーブル1389[[#Totals],[支払金額]]</f>
        <v>0</v>
      </c>
      <c r="J48" s="9"/>
      <c r="K48" s="17">
        <f>SUBTOTAL(103,テーブル1389[裕子])</f>
        <v>0</v>
      </c>
    </row>
  </sheetData>
  <phoneticPr fontId="1"/>
  <dataValidations count="4">
    <dataValidation type="list" allowBlank="1" showInputMessage="1" showErrorMessage="1" sqref="B2:B47" xr:uid="{D300C440-C2DF-48A3-AFF0-27E558679D41}">
      <formula1>"田原,田中,高木,勝田,森山,市村,金築,その他"</formula1>
    </dataValidation>
    <dataValidation type="list" allowBlank="1" showInputMessage="1" showErrorMessage="1" sqref="G2" xr:uid="{267A3211-0C32-401F-B51A-0B4FE638CACA}">
      <formula1>",合銀1,合銀,島銀,振込手数,値引"</formula1>
    </dataValidation>
    <dataValidation type="list" allowBlank="1" showInputMessage="1" showErrorMessage="1" sqref="J2:K47" xr:uid="{BC0385E5-90CA-46F7-93D3-DE4CFDFF00DD}">
      <formula1>"  ,済"</formula1>
    </dataValidation>
    <dataValidation type="list" allowBlank="1" showInputMessage="1" showErrorMessage="1" sqref="G3:G47 G49:G61" xr:uid="{BF0832D4-6738-40BC-9A89-36FAE5CB5506}">
      <formula1>",合銀1,合銀,島銀,現金,振込手数,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&amp;C伊藤畳店</oddHead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A1D6D-8E68-40B1-ADEC-5B52ECE1E399}">
  <sheetPr codeName="Sheet6">
    <tabColor theme="7" tint="0.39997558519241921"/>
  </sheetPr>
  <dimension ref="A1:K50"/>
  <sheetViews>
    <sheetView workbookViewId="0">
      <pane ySplit="1" topLeftCell="A2" activePane="bottomLeft" state="frozen"/>
      <selection pane="bottomLeft" activeCell="M3" sqref="M3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88</v>
      </c>
      <c r="D2" s="2">
        <v>1</v>
      </c>
      <c r="E2" s="30">
        <v>1815000</v>
      </c>
      <c r="F2" s="30">
        <f>D2*E2</f>
        <v>1815000</v>
      </c>
      <c r="G2" s="30"/>
      <c r="H2" s="30"/>
      <c r="I2" s="30">
        <f>F2-H2</f>
        <v>1815000</v>
      </c>
      <c r="J2" s="30"/>
      <c r="K2" s="31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1814890</v>
      </c>
      <c r="I3" s="51">
        <f>I2+F3-H3</f>
        <v>110</v>
      </c>
      <c r="J3" s="51" t="s">
        <v>89</v>
      </c>
      <c r="K3" s="53" t="s">
        <v>89</v>
      </c>
    </row>
    <row r="4" spans="1:11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3" t="s">
        <v>89</v>
      </c>
    </row>
    <row r="5" spans="1:11">
      <c r="A5" s="4"/>
      <c r="B5" s="2"/>
      <c r="C5" s="1"/>
      <c r="D5" s="1"/>
      <c r="E5" s="32"/>
      <c r="F5" s="32">
        <f t="shared" si="0"/>
        <v>0</v>
      </c>
      <c r="G5" s="30"/>
      <c r="H5" s="32"/>
      <c r="I5" s="32">
        <f t="shared" si="1"/>
        <v>0</v>
      </c>
      <c r="J5" s="32"/>
      <c r="K5" s="31"/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1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4"/>
      <c r="B48" s="2"/>
      <c r="C48" s="1"/>
      <c r="D48" s="1"/>
      <c r="E48" s="32"/>
      <c r="F48" s="32">
        <f>D48*E48</f>
        <v>0</v>
      </c>
      <c r="G48" s="30"/>
      <c r="H48" s="32"/>
      <c r="I48" s="32">
        <f>I47+F48-H48</f>
        <v>0</v>
      </c>
      <c r="J48" s="32"/>
      <c r="K48" s="31"/>
    </row>
    <row r="49" spans="1:11" ht="19.5" thickBot="1">
      <c r="A49" s="18"/>
      <c r="B49" s="19"/>
      <c r="C49" s="19"/>
      <c r="D49" s="19"/>
      <c r="E49" s="33"/>
      <c r="F49" s="33">
        <f>D49*E49</f>
        <v>0</v>
      </c>
      <c r="G49" s="33"/>
      <c r="H49" s="33"/>
      <c r="I49" s="33">
        <f>I48+F49-H49</f>
        <v>0</v>
      </c>
      <c r="J49" s="33"/>
      <c r="K49" s="34"/>
    </row>
    <row r="50" spans="1:11" ht="19.5" thickTop="1">
      <c r="A50" s="16" t="s">
        <v>86</v>
      </c>
      <c r="B50" s="9"/>
      <c r="C50" s="9"/>
      <c r="D50" s="9"/>
      <c r="E50" s="35"/>
      <c r="F50" s="35">
        <f>SUBTOTAL(109,テーブル16[仕入金額])</f>
        <v>1815000</v>
      </c>
      <c r="G50" s="35"/>
      <c r="H50" s="35">
        <f>SUBTOTAL(109,テーブル16[支払金額])</f>
        <v>1815000</v>
      </c>
      <c r="I50" s="35">
        <f>テーブル16[[#Totals],[仕入金額]]-テーブル16[[#Totals],[支払金額]]</f>
        <v>0</v>
      </c>
      <c r="J50" s="35"/>
      <c r="K50" s="36">
        <f>SUBTOTAL(103,テーブル16[裕子])</f>
        <v>3</v>
      </c>
    </row>
  </sheetData>
  <phoneticPr fontId="1"/>
  <dataValidations count="4">
    <dataValidation type="list" allowBlank="1" showInputMessage="1" showErrorMessage="1" sqref="B2:B49" xr:uid="{49FCDBB0-668F-4382-B514-FC98F7C2E5A1}">
      <formula1>"田原,田中,高木,勝田,森山,市村,金築,その他"</formula1>
    </dataValidation>
    <dataValidation type="list" allowBlank="1" showInputMessage="1" showErrorMessage="1" sqref="G2:G49" xr:uid="{746EC60A-17A6-4D48-AB8E-70B80F2C92DA}">
      <formula1>",合銀1,合銀,島銀,現金,振込手数,値引"</formula1>
    </dataValidation>
    <dataValidation type="list" allowBlank="1" showInputMessage="1" showErrorMessage="1" sqref="J2:K49" xr:uid="{F2980737-11D5-4CD6-B5FB-7C98343BE311}">
      <formula1>"  ,済"</formula1>
    </dataValidation>
    <dataValidation type="list" allowBlank="1" showInputMessage="1" showErrorMessage="1" sqref="G51:G63" xr:uid="{B14475AD-3F53-4122-B605-3345BD2B0335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&amp;Cイマックス</oddHead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0208E-BC0A-4F28-949E-9B3976CEC099}">
  <sheetPr codeName="Sheet7">
    <tabColor theme="7" tint="0.39997558519241921"/>
  </sheetPr>
  <dimension ref="A1:K50"/>
  <sheetViews>
    <sheetView workbookViewId="0">
      <pane ySplit="1" topLeftCell="A2" activePane="bottomLeft" state="frozen"/>
      <selection pane="bottomLeft" activeCell="M12" sqref="M12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3.25" bestFit="1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88</v>
      </c>
      <c r="D2" s="2">
        <v>1</v>
      </c>
      <c r="E2" s="30">
        <v>235774</v>
      </c>
      <c r="F2" s="30">
        <f>D2*E2</f>
        <v>235774</v>
      </c>
      <c r="G2" s="30"/>
      <c r="H2" s="30"/>
      <c r="I2" s="30">
        <f>F2-H2</f>
        <v>235774</v>
      </c>
      <c r="J2" s="30"/>
      <c r="K2" s="5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235664</v>
      </c>
      <c r="I3" s="51">
        <f>I2+F3-H3</f>
        <v>110</v>
      </c>
      <c r="J3" s="51" t="s">
        <v>89</v>
      </c>
      <c r="K3" s="56" t="s">
        <v>89</v>
      </c>
    </row>
    <row r="4" spans="1:11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6" t="s">
        <v>89</v>
      </c>
    </row>
    <row r="5" spans="1:11">
      <c r="A5" s="4">
        <v>44671</v>
      </c>
      <c r="B5" s="2" t="s">
        <v>97</v>
      </c>
      <c r="C5" s="1" t="s">
        <v>98</v>
      </c>
      <c r="D5" s="1">
        <v>1</v>
      </c>
      <c r="E5" s="32">
        <v>9900</v>
      </c>
      <c r="F5" s="32">
        <f t="shared" si="0"/>
        <v>9900</v>
      </c>
      <c r="G5" s="30"/>
      <c r="H5" s="32"/>
      <c r="I5" s="32">
        <f t="shared" si="1"/>
        <v>9900</v>
      </c>
      <c r="J5" s="32" t="s">
        <v>89</v>
      </c>
      <c r="K5" s="5" t="s">
        <v>89</v>
      </c>
    </row>
    <row r="6" spans="1:11">
      <c r="A6" s="48">
        <v>44701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9845</v>
      </c>
      <c r="I6" s="51">
        <f t="shared" si="1"/>
        <v>55</v>
      </c>
      <c r="J6" s="51" t="s">
        <v>89</v>
      </c>
      <c r="K6" s="56" t="s">
        <v>89</v>
      </c>
    </row>
    <row r="7" spans="1:11">
      <c r="A7" s="48">
        <v>44701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55</v>
      </c>
      <c r="I7" s="51">
        <f t="shared" si="1"/>
        <v>0</v>
      </c>
      <c r="J7" s="51" t="s">
        <v>89</v>
      </c>
      <c r="K7" s="56" t="s">
        <v>89</v>
      </c>
    </row>
    <row r="8" spans="1:11">
      <c r="A8" s="4">
        <v>44701</v>
      </c>
      <c r="B8" s="2" t="s">
        <v>97</v>
      </c>
      <c r="C8" s="1" t="s">
        <v>99</v>
      </c>
      <c r="D8" s="1">
        <v>1</v>
      </c>
      <c r="E8" s="32">
        <v>14300</v>
      </c>
      <c r="F8" s="32">
        <f t="shared" si="0"/>
        <v>14300</v>
      </c>
      <c r="G8" s="30"/>
      <c r="H8" s="32"/>
      <c r="I8" s="32">
        <f t="shared" si="1"/>
        <v>14300</v>
      </c>
      <c r="J8" s="32" t="s">
        <v>89</v>
      </c>
      <c r="K8" s="5" t="s">
        <v>89</v>
      </c>
    </row>
    <row r="9" spans="1:11">
      <c r="A9" s="48">
        <v>44732</v>
      </c>
      <c r="B9" s="49"/>
      <c r="C9" s="50"/>
      <c r="D9" s="50"/>
      <c r="E9" s="51"/>
      <c r="F9" s="51">
        <f t="shared" si="0"/>
        <v>0</v>
      </c>
      <c r="G9" s="52" t="s">
        <v>90</v>
      </c>
      <c r="H9" s="51">
        <v>14245</v>
      </c>
      <c r="I9" s="51">
        <f t="shared" si="1"/>
        <v>55</v>
      </c>
      <c r="J9" s="51" t="s">
        <v>89</v>
      </c>
      <c r="K9" s="56" t="s">
        <v>89</v>
      </c>
    </row>
    <row r="10" spans="1:11">
      <c r="A10" s="48">
        <v>44732</v>
      </c>
      <c r="B10" s="49"/>
      <c r="C10" s="50"/>
      <c r="D10" s="50"/>
      <c r="E10" s="51"/>
      <c r="F10" s="51">
        <f t="shared" si="0"/>
        <v>0</v>
      </c>
      <c r="G10" s="52" t="s">
        <v>91</v>
      </c>
      <c r="H10" s="51">
        <v>55</v>
      </c>
      <c r="I10" s="51">
        <f t="shared" si="1"/>
        <v>0</v>
      </c>
      <c r="J10" s="51" t="s">
        <v>89</v>
      </c>
      <c r="K10" s="56" t="s">
        <v>89</v>
      </c>
    </row>
    <row r="11" spans="1:11">
      <c r="A11" s="4">
        <v>44732</v>
      </c>
      <c r="B11" s="2" t="s">
        <v>97</v>
      </c>
      <c r="C11" s="1" t="s">
        <v>100</v>
      </c>
      <c r="D11" s="1">
        <v>1</v>
      </c>
      <c r="E11" s="32">
        <v>17600</v>
      </c>
      <c r="F11" s="32">
        <f t="shared" si="0"/>
        <v>17600</v>
      </c>
      <c r="G11" s="30"/>
      <c r="H11" s="32"/>
      <c r="I11" s="32">
        <f t="shared" si="1"/>
        <v>17600</v>
      </c>
      <c r="J11" s="32" t="s">
        <v>89</v>
      </c>
      <c r="K11" s="5" t="s">
        <v>89</v>
      </c>
    </row>
    <row r="12" spans="1:11">
      <c r="A12" s="48">
        <v>44762</v>
      </c>
      <c r="B12" s="49"/>
      <c r="C12" s="50"/>
      <c r="D12" s="50"/>
      <c r="E12" s="51"/>
      <c r="F12" s="51">
        <f t="shared" si="0"/>
        <v>0</v>
      </c>
      <c r="G12" s="52" t="s">
        <v>90</v>
      </c>
      <c r="H12" s="51">
        <v>17545</v>
      </c>
      <c r="I12" s="51">
        <f t="shared" si="1"/>
        <v>55</v>
      </c>
      <c r="J12" s="51" t="s">
        <v>89</v>
      </c>
      <c r="K12" s="56" t="s">
        <v>89</v>
      </c>
    </row>
    <row r="13" spans="1:11">
      <c r="A13" s="48">
        <v>44762</v>
      </c>
      <c r="B13" s="49"/>
      <c r="C13" s="50"/>
      <c r="D13" s="50"/>
      <c r="E13" s="51"/>
      <c r="F13" s="51">
        <f t="shared" si="0"/>
        <v>0</v>
      </c>
      <c r="G13" s="52" t="s">
        <v>91</v>
      </c>
      <c r="H13" s="51">
        <v>55</v>
      </c>
      <c r="I13" s="51">
        <f t="shared" si="1"/>
        <v>0</v>
      </c>
      <c r="J13" s="51" t="s">
        <v>89</v>
      </c>
      <c r="K13" s="56" t="s">
        <v>89</v>
      </c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 ht="19.5" thickBot="1">
      <c r="A47" s="18"/>
      <c r="B47" s="19"/>
      <c r="C47" s="19"/>
      <c r="D47" s="19"/>
      <c r="E47" s="33"/>
      <c r="F47" s="33">
        <f t="shared" si="0"/>
        <v>0</v>
      </c>
      <c r="G47" s="33"/>
      <c r="H47" s="33"/>
      <c r="I47" s="33">
        <f t="shared" si="1"/>
        <v>0</v>
      </c>
      <c r="J47" s="33"/>
      <c r="K47" s="34"/>
    </row>
    <row r="48" spans="1:11" ht="19.5" thickTop="1">
      <c r="A48" s="16" t="s">
        <v>86</v>
      </c>
      <c r="B48" s="9"/>
      <c r="C48" s="9"/>
      <c r="D48" s="9"/>
      <c r="E48" s="42"/>
      <c r="F48" s="42">
        <f>SUBTOTAL(109,テーブル1345[仕入金額])</f>
        <v>277574</v>
      </c>
      <c r="G48" s="42"/>
      <c r="H48" s="42">
        <f>SUBTOTAL(109,テーブル1345[支払金額])</f>
        <v>277574</v>
      </c>
      <c r="I48" s="42">
        <f>テーブル1345[[#Totals],[仕入金額]]-テーブル1345[[#Totals],[支払金額]]</f>
        <v>0</v>
      </c>
      <c r="J48" s="42"/>
      <c r="K48" s="43">
        <f>SUBTOTAL(103,テーブル1345[裕子])</f>
        <v>12</v>
      </c>
    </row>
    <row r="49" spans="5:11">
      <c r="E49" s="39"/>
      <c r="F49" s="39"/>
      <c r="G49" s="39"/>
      <c r="H49" s="39"/>
      <c r="I49" s="39"/>
      <c r="J49" s="39"/>
      <c r="K49" s="39"/>
    </row>
    <row r="50" spans="5:11">
      <c r="E50" s="39"/>
      <c r="F50" s="39"/>
      <c r="G50" s="39"/>
      <c r="H50" s="39"/>
      <c r="I50" s="39"/>
      <c r="J50" s="39"/>
      <c r="K50" s="39"/>
    </row>
  </sheetData>
  <phoneticPr fontId="1"/>
  <dataValidations count="4">
    <dataValidation type="list" allowBlank="1" showInputMessage="1" showErrorMessage="1" sqref="B2:B47" xr:uid="{4EF4BE41-B356-49A7-A816-ABB786376F4B}">
      <formula1>"田原,田中,高木,勝田,森山,市村,金築,その他"</formula1>
    </dataValidation>
    <dataValidation type="list" allowBlank="1" showInputMessage="1" showErrorMessage="1" sqref="G2:G47" xr:uid="{2FB3FFF0-3B7D-4472-9000-C9745A508696}">
      <formula1>",合銀1,合銀,島銀,現金,振込手数,値引"</formula1>
    </dataValidation>
    <dataValidation type="list" allowBlank="1" showInputMessage="1" showErrorMessage="1" sqref="J2:K47" xr:uid="{BD3103C7-BBAF-4C24-B162-A1A5F0C37B03}">
      <formula1>"  ,済"</formula1>
    </dataValidation>
    <dataValidation type="list" allowBlank="1" showInputMessage="1" showErrorMessage="1" sqref="G49:G61" xr:uid="{2CA60002-7834-4890-B0A8-68F8DD6A1014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&amp;Cインテリ屋のり</oddHead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975F5-7EC3-4009-AA59-E7FE94B8E286}">
  <sheetPr codeName="Sheet8">
    <tabColor theme="7" tint="0.39997558519241921"/>
  </sheetPr>
  <dimension ref="A1:K49"/>
  <sheetViews>
    <sheetView zoomScale="145" zoomScaleNormal="145" workbookViewId="0">
      <pane ySplit="1" topLeftCell="A23" activePane="bottomLeft" state="frozen"/>
      <selection pane="bottomLeft" activeCell="H24" sqref="H24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88</v>
      </c>
      <c r="D2" s="2">
        <v>1</v>
      </c>
      <c r="E2" s="30">
        <v>500456</v>
      </c>
      <c r="F2" s="30">
        <f>D2*E2</f>
        <v>500456</v>
      </c>
      <c r="G2" s="30"/>
      <c r="H2" s="30"/>
      <c r="I2" s="30">
        <f>F2-H2</f>
        <v>500456</v>
      </c>
      <c r="J2" s="30"/>
      <c r="K2" s="5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500346</v>
      </c>
      <c r="I3" s="51">
        <f>I2+F3-H3</f>
        <v>110</v>
      </c>
      <c r="J3" s="51" t="s">
        <v>89</v>
      </c>
      <c r="K3" s="56" t="s">
        <v>89</v>
      </c>
    </row>
    <row r="4" spans="1:11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6" t="s">
        <v>89</v>
      </c>
    </row>
    <row r="5" spans="1:11">
      <c r="A5" s="4">
        <v>44671</v>
      </c>
      <c r="B5" s="2" t="s">
        <v>101</v>
      </c>
      <c r="C5" s="1" t="s">
        <v>102</v>
      </c>
      <c r="D5" s="1">
        <v>1</v>
      </c>
      <c r="E5" s="32">
        <v>2829112</v>
      </c>
      <c r="F5" s="32">
        <f t="shared" si="0"/>
        <v>2829112</v>
      </c>
      <c r="G5" s="30"/>
      <c r="H5" s="32"/>
      <c r="I5" s="32">
        <f t="shared" si="1"/>
        <v>2829112</v>
      </c>
      <c r="J5" s="32" t="s">
        <v>89</v>
      </c>
      <c r="K5" s="5" t="s">
        <v>89</v>
      </c>
    </row>
    <row r="6" spans="1:11">
      <c r="A6" s="48">
        <v>44701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2829002</v>
      </c>
      <c r="I6" s="51">
        <f t="shared" si="1"/>
        <v>110</v>
      </c>
      <c r="J6" s="51" t="s">
        <v>89</v>
      </c>
      <c r="K6" s="56" t="s">
        <v>89</v>
      </c>
    </row>
    <row r="7" spans="1:11">
      <c r="A7" s="48">
        <v>44701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110</v>
      </c>
      <c r="I7" s="51">
        <f t="shared" si="1"/>
        <v>0</v>
      </c>
      <c r="J7" s="51" t="s">
        <v>89</v>
      </c>
      <c r="K7" s="56" t="s">
        <v>89</v>
      </c>
    </row>
    <row r="8" spans="1:11">
      <c r="A8" s="4">
        <v>44701</v>
      </c>
      <c r="B8" s="2" t="s">
        <v>101</v>
      </c>
      <c r="C8" s="1" t="s">
        <v>102</v>
      </c>
      <c r="D8" s="1">
        <v>1</v>
      </c>
      <c r="E8" s="32">
        <v>231392</v>
      </c>
      <c r="F8" s="32">
        <f t="shared" si="0"/>
        <v>231392</v>
      </c>
      <c r="G8" s="30"/>
      <c r="H8" s="32"/>
      <c r="I8" s="32">
        <f t="shared" si="1"/>
        <v>231392</v>
      </c>
      <c r="J8" s="32" t="s">
        <v>89</v>
      </c>
      <c r="K8" s="5" t="s">
        <v>89</v>
      </c>
    </row>
    <row r="9" spans="1:11">
      <c r="A9" s="4">
        <v>44701</v>
      </c>
      <c r="B9" s="2" t="s">
        <v>101</v>
      </c>
      <c r="C9" s="1" t="s">
        <v>103</v>
      </c>
      <c r="D9" s="1">
        <v>1</v>
      </c>
      <c r="E9" s="32">
        <v>19250</v>
      </c>
      <c r="F9" s="32">
        <f t="shared" si="0"/>
        <v>19250</v>
      </c>
      <c r="G9" s="30"/>
      <c r="H9" s="32"/>
      <c r="I9" s="32">
        <f t="shared" si="1"/>
        <v>250642</v>
      </c>
      <c r="J9" s="32" t="s">
        <v>89</v>
      </c>
      <c r="K9" s="5" t="s">
        <v>89</v>
      </c>
    </row>
    <row r="10" spans="1:11">
      <c r="A10" s="4">
        <v>44701</v>
      </c>
      <c r="B10" s="2" t="s">
        <v>104</v>
      </c>
      <c r="C10" s="1" t="s">
        <v>102</v>
      </c>
      <c r="D10" s="1">
        <v>1</v>
      </c>
      <c r="E10" s="32">
        <v>437496</v>
      </c>
      <c r="F10" s="32">
        <f t="shared" si="0"/>
        <v>437496</v>
      </c>
      <c r="G10" s="30"/>
      <c r="H10" s="32"/>
      <c r="I10" s="32">
        <f t="shared" si="1"/>
        <v>688138</v>
      </c>
      <c r="J10" s="32" t="s">
        <v>89</v>
      </c>
      <c r="K10" s="5" t="s">
        <v>89</v>
      </c>
    </row>
    <row r="11" spans="1:11">
      <c r="A11" s="4">
        <v>44701</v>
      </c>
      <c r="B11" s="2"/>
      <c r="C11" s="1" t="s">
        <v>105</v>
      </c>
      <c r="D11" s="1">
        <v>1</v>
      </c>
      <c r="E11" s="32">
        <v>258500</v>
      </c>
      <c r="F11" s="32">
        <f t="shared" si="0"/>
        <v>258500</v>
      </c>
      <c r="G11" s="30"/>
      <c r="H11" s="32"/>
      <c r="I11" s="32">
        <f t="shared" si="1"/>
        <v>946638</v>
      </c>
      <c r="J11" s="32" t="s">
        <v>89</v>
      </c>
      <c r="K11" s="5" t="s">
        <v>89</v>
      </c>
    </row>
    <row r="12" spans="1:11">
      <c r="A12" s="48">
        <v>44732</v>
      </c>
      <c r="B12" s="49"/>
      <c r="C12" s="50"/>
      <c r="D12" s="50"/>
      <c r="E12" s="51"/>
      <c r="F12" s="51">
        <f t="shared" si="0"/>
        <v>0</v>
      </c>
      <c r="G12" s="52" t="s">
        <v>90</v>
      </c>
      <c r="H12" s="51">
        <v>946528</v>
      </c>
      <c r="I12" s="51">
        <f t="shared" si="1"/>
        <v>110</v>
      </c>
      <c r="J12" s="51" t="s">
        <v>89</v>
      </c>
      <c r="K12" s="51" t="s">
        <v>89</v>
      </c>
    </row>
    <row r="13" spans="1:11">
      <c r="A13" s="48">
        <v>44732</v>
      </c>
      <c r="B13" s="49"/>
      <c r="C13" s="50"/>
      <c r="D13" s="50"/>
      <c r="E13" s="51"/>
      <c r="F13" s="51">
        <f t="shared" si="0"/>
        <v>0</v>
      </c>
      <c r="G13" s="52" t="s">
        <v>91</v>
      </c>
      <c r="H13" s="51">
        <v>110</v>
      </c>
      <c r="I13" s="51">
        <f t="shared" si="1"/>
        <v>0</v>
      </c>
      <c r="J13" s="51" t="s">
        <v>89</v>
      </c>
      <c r="K13" s="51" t="s">
        <v>89</v>
      </c>
    </row>
    <row r="14" spans="1:11">
      <c r="A14" s="4">
        <v>44732</v>
      </c>
      <c r="B14" s="2" t="s">
        <v>101</v>
      </c>
      <c r="C14" s="1" t="s">
        <v>102</v>
      </c>
      <c r="D14" s="1">
        <v>1</v>
      </c>
      <c r="E14" s="32">
        <v>97346</v>
      </c>
      <c r="F14" s="32">
        <f t="shared" si="0"/>
        <v>97346</v>
      </c>
      <c r="G14" s="30"/>
      <c r="H14" s="32"/>
      <c r="I14" s="32">
        <f t="shared" si="1"/>
        <v>97346</v>
      </c>
      <c r="J14" s="32" t="s">
        <v>89</v>
      </c>
      <c r="K14" s="32" t="s">
        <v>89</v>
      </c>
    </row>
    <row r="15" spans="1:11">
      <c r="A15" s="4">
        <v>44732</v>
      </c>
      <c r="B15" s="2" t="s">
        <v>101</v>
      </c>
      <c r="C15" s="1" t="s">
        <v>103</v>
      </c>
      <c r="D15" s="1">
        <v>1</v>
      </c>
      <c r="E15" s="32">
        <v>356087</v>
      </c>
      <c r="F15" s="32">
        <f t="shared" si="0"/>
        <v>356087</v>
      </c>
      <c r="G15" s="30"/>
      <c r="H15" s="32"/>
      <c r="I15" s="32">
        <f t="shared" si="1"/>
        <v>453433</v>
      </c>
      <c r="J15" s="32" t="s">
        <v>89</v>
      </c>
      <c r="K15" s="32" t="s">
        <v>89</v>
      </c>
    </row>
    <row r="16" spans="1:11">
      <c r="A16" s="4">
        <v>44732</v>
      </c>
      <c r="B16" s="2" t="s">
        <v>101</v>
      </c>
      <c r="C16" s="1" t="s">
        <v>106</v>
      </c>
      <c r="D16" s="1">
        <v>1</v>
      </c>
      <c r="E16" s="32">
        <v>503690</v>
      </c>
      <c r="F16" s="32">
        <f t="shared" si="0"/>
        <v>503690</v>
      </c>
      <c r="G16" s="30"/>
      <c r="H16" s="32"/>
      <c r="I16" s="32">
        <f t="shared" si="1"/>
        <v>957123</v>
      </c>
      <c r="J16" s="32" t="s">
        <v>89</v>
      </c>
      <c r="K16" s="32" t="s">
        <v>89</v>
      </c>
    </row>
    <row r="17" spans="1:11">
      <c r="A17" s="4">
        <v>44732</v>
      </c>
      <c r="B17" s="2" t="s">
        <v>104</v>
      </c>
      <c r="C17" s="1" t="s">
        <v>102</v>
      </c>
      <c r="D17" s="1">
        <v>1</v>
      </c>
      <c r="E17" s="32">
        <v>492036</v>
      </c>
      <c r="F17" s="32">
        <f t="shared" si="0"/>
        <v>492036</v>
      </c>
      <c r="G17" s="30"/>
      <c r="H17" s="32"/>
      <c r="I17" s="32">
        <f t="shared" si="1"/>
        <v>1449159</v>
      </c>
      <c r="J17" s="32" t="s">
        <v>89</v>
      </c>
      <c r="K17" s="32" t="s">
        <v>89</v>
      </c>
    </row>
    <row r="18" spans="1:11">
      <c r="A18" s="4">
        <v>44732</v>
      </c>
      <c r="B18" s="2" t="s">
        <v>104</v>
      </c>
      <c r="C18" s="1" t="s">
        <v>103</v>
      </c>
      <c r="D18" s="1">
        <v>1</v>
      </c>
      <c r="E18" s="32">
        <v>855052</v>
      </c>
      <c r="F18" s="32">
        <f t="shared" si="0"/>
        <v>855052</v>
      </c>
      <c r="G18" s="30"/>
      <c r="H18" s="32"/>
      <c r="I18" s="32">
        <f t="shared" si="1"/>
        <v>2304211</v>
      </c>
      <c r="J18" s="32" t="s">
        <v>89</v>
      </c>
      <c r="K18" s="32" t="s">
        <v>89</v>
      </c>
    </row>
    <row r="19" spans="1:11">
      <c r="A19" s="4">
        <v>44732</v>
      </c>
      <c r="B19" s="2" t="s">
        <v>97</v>
      </c>
      <c r="C19" s="1" t="s">
        <v>107</v>
      </c>
      <c r="D19" s="1">
        <v>1</v>
      </c>
      <c r="E19" s="32">
        <v>65835</v>
      </c>
      <c r="F19" s="32">
        <f t="shared" si="0"/>
        <v>65835</v>
      </c>
      <c r="G19" s="30"/>
      <c r="H19" s="32"/>
      <c r="I19" s="32">
        <f t="shared" si="1"/>
        <v>2370046</v>
      </c>
      <c r="J19" s="32" t="s">
        <v>89</v>
      </c>
      <c r="K19" s="32" t="s">
        <v>89</v>
      </c>
    </row>
    <row r="20" spans="1:11">
      <c r="A20" s="4">
        <v>44732</v>
      </c>
      <c r="B20" s="2" t="s">
        <v>97</v>
      </c>
      <c r="C20" s="1" t="s">
        <v>108</v>
      </c>
      <c r="D20" s="1">
        <v>1</v>
      </c>
      <c r="E20" s="32">
        <v>50160</v>
      </c>
      <c r="F20" s="32">
        <f t="shared" si="0"/>
        <v>50160</v>
      </c>
      <c r="G20" s="30"/>
      <c r="H20" s="32"/>
      <c r="I20" s="32">
        <f t="shared" si="1"/>
        <v>2420206</v>
      </c>
      <c r="J20" s="32" t="s">
        <v>89</v>
      </c>
      <c r="K20" s="32" t="s">
        <v>89</v>
      </c>
    </row>
    <row r="21" spans="1:11">
      <c r="A21" s="4">
        <v>44732</v>
      </c>
      <c r="B21" s="2"/>
      <c r="C21" s="1" t="s">
        <v>109</v>
      </c>
      <c r="D21" s="1">
        <v>1</v>
      </c>
      <c r="E21" s="32">
        <v>688281</v>
      </c>
      <c r="F21" s="32">
        <f t="shared" si="0"/>
        <v>688281</v>
      </c>
      <c r="G21" s="30"/>
      <c r="H21" s="32"/>
      <c r="I21" s="32">
        <f t="shared" si="1"/>
        <v>3108487</v>
      </c>
      <c r="J21" s="32" t="s">
        <v>89</v>
      </c>
      <c r="K21" s="32" t="s">
        <v>89</v>
      </c>
    </row>
    <row r="22" spans="1:11">
      <c r="A22" s="4">
        <v>44732</v>
      </c>
      <c r="B22" s="2"/>
      <c r="C22" s="1" t="s">
        <v>110</v>
      </c>
      <c r="D22" s="1">
        <v>1</v>
      </c>
      <c r="E22" s="32">
        <v>383790</v>
      </c>
      <c r="F22" s="32">
        <f t="shared" si="0"/>
        <v>383790</v>
      </c>
      <c r="G22" s="30"/>
      <c r="H22" s="32"/>
      <c r="I22" s="32">
        <f t="shared" si="1"/>
        <v>3492277</v>
      </c>
      <c r="J22" s="32" t="s">
        <v>89</v>
      </c>
      <c r="K22" s="32" t="s">
        <v>89</v>
      </c>
    </row>
    <row r="23" spans="1:11">
      <c r="A23" s="48">
        <v>44762</v>
      </c>
      <c r="B23" s="49"/>
      <c r="C23" s="50"/>
      <c r="D23" s="50"/>
      <c r="E23" s="51"/>
      <c r="F23" s="51">
        <f t="shared" si="0"/>
        <v>0</v>
      </c>
      <c r="G23" s="52" t="s">
        <v>90</v>
      </c>
      <c r="H23" s="51">
        <v>3492167</v>
      </c>
      <c r="I23" s="51">
        <f t="shared" si="1"/>
        <v>110</v>
      </c>
      <c r="J23" s="51" t="s">
        <v>89</v>
      </c>
      <c r="K23" s="51" t="s">
        <v>89</v>
      </c>
    </row>
    <row r="24" spans="1:11">
      <c r="A24" s="48">
        <v>44762</v>
      </c>
      <c r="B24" s="49"/>
      <c r="C24" s="50"/>
      <c r="D24" s="50"/>
      <c r="E24" s="51"/>
      <c r="F24" s="51">
        <f t="shared" si="0"/>
        <v>0</v>
      </c>
      <c r="G24" s="52" t="s">
        <v>91</v>
      </c>
      <c r="H24" s="51">
        <v>110</v>
      </c>
      <c r="I24" s="51">
        <f t="shared" si="1"/>
        <v>0</v>
      </c>
      <c r="J24" s="51" t="s">
        <v>89</v>
      </c>
      <c r="K24" s="51" t="s">
        <v>89</v>
      </c>
    </row>
    <row r="25" spans="1:11">
      <c r="A25" s="4">
        <v>44762</v>
      </c>
      <c r="B25" s="2" t="s">
        <v>101</v>
      </c>
      <c r="C25" s="1" t="s">
        <v>102</v>
      </c>
      <c r="D25" s="1">
        <v>1</v>
      </c>
      <c r="E25" s="32">
        <v>62101</v>
      </c>
      <c r="F25" s="32">
        <f t="shared" si="0"/>
        <v>62101</v>
      </c>
      <c r="G25" s="30"/>
      <c r="H25" s="32"/>
      <c r="I25" s="32">
        <f t="shared" si="1"/>
        <v>62101</v>
      </c>
      <c r="J25" s="32" t="s">
        <v>89</v>
      </c>
      <c r="K25" s="32" t="s">
        <v>89</v>
      </c>
    </row>
    <row r="26" spans="1:11">
      <c r="A26" s="4">
        <v>44762</v>
      </c>
      <c r="B26" s="2" t="s">
        <v>101</v>
      </c>
      <c r="C26" s="1" t="s">
        <v>103</v>
      </c>
      <c r="D26" s="1">
        <v>1</v>
      </c>
      <c r="E26" s="32">
        <v>177006</v>
      </c>
      <c r="F26" s="32">
        <f t="shared" si="0"/>
        <v>177006</v>
      </c>
      <c r="G26" s="30"/>
      <c r="H26" s="32"/>
      <c r="I26" s="32">
        <f t="shared" si="1"/>
        <v>239107</v>
      </c>
      <c r="J26" s="32" t="s">
        <v>89</v>
      </c>
      <c r="K26" s="32" t="s">
        <v>89</v>
      </c>
    </row>
    <row r="27" spans="1:11">
      <c r="A27" s="4">
        <v>44762</v>
      </c>
      <c r="B27" s="2" t="s">
        <v>92</v>
      </c>
      <c r="C27" s="1" t="s">
        <v>102</v>
      </c>
      <c r="D27" s="1">
        <v>1</v>
      </c>
      <c r="E27" s="32">
        <v>2399653</v>
      </c>
      <c r="F27" s="32">
        <f t="shared" si="0"/>
        <v>2399653</v>
      </c>
      <c r="G27" s="30"/>
      <c r="H27" s="32"/>
      <c r="I27" s="32">
        <f t="shared" si="1"/>
        <v>2638760</v>
      </c>
      <c r="J27" s="32" t="s">
        <v>89</v>
      </c>
      <c r="K27" s="32" t="s">
        <v>89</v>
      </c>
    </row>
    <row r="28" spans="1:11">
      <c r="A28" s="4">
        <v>44762</v>
      </c>
      <c r="B28" s="2" t="s">
        <v>104</v>
      </c>
      <c r="C28" s="1" t="s">
        <v>102</v>
      </c>
      <c r="D28" s="1">
        <v>1</v>
      </c>
      <c r="E28" s="32">
        <v>172181</v>
      </c>
      <c r="F28" s="32">
        <f t="shared" si="0"/>
        <v>172181</v>
      </c>
      <c r="G28" s="30"/>
      <c r="H28" s="32"/>
      <c r="I28" s="32">
        <f t="shared" si="1"/>
        <v>2810941</v>
      </c>
      <c r="J28" s="32" t="s">
        <v>89</v>
      </c>
      <c r="K28" s="32" t="s">
        <v>89</v>
      </c>
    </row>
    <row r="29" spans="1:11">
      <c r="A29" s="4">
        <v>44762</v>
      </c>
      <c r="B29" s="2" t="s">
        <v>104</v>
      </c>
      <c r="C29" s="1" t="s">
        <v>103</v>
      </c>
      <c r="D29" s="1">
        <v>1</v>
      </c>
      <c r="E29" s="32">
        <v>102597</v>
      </c>
      <c r="F29" s="32">
        <f t="shared" si="0"/>
        <v>102597</v>
      </c>
      <c r="G29" s="30"/>
      <c r="H29" s="32"/>
      <c r="I29" s="32">
        <f t="shared" si="1"/>
        <v>2913538</v>
      </c>
      <c r="J29" s="32" t="s">
        <v>89</v>
      </c>
      <c r="K29" s="32" t="s">
        <v>89</v>
      </c>
    </row>
    <row r="30" spans="1:11">
      <c r="A30" s="4">
        <v>44762</v>
      </c>
      <c r="B30" s="2" t="s">
        <v>97</v>
      </c>
      <c r="C30" s="1" t="s">
        <v>111</v>
      </c>
      <c r="D30" s="1">
        <v>1</v>
      </c>
      <c r="E30" s="32">
        <v>9423</v>
      </c>
      <c r="F30" s="32">
        <f t="shared" si="0"/>
        <v>9423</v>
      </c>
      <c r="G30" s="30"/>
      <c r="H30" s="32"/>
      <c r="I30" s="32">
        <f t="shared" si="1"/>
        <v>2922961</v>
      </c>
      <c r="J30" s="32" t="s">
        <v>89</v>
      </c>
      <c r="K30" s="32" t="s">
        <v>89</v>
      </c>
    </row>
    <row r="31" spans="1:11">
      <c r="A31" s="4">
        <v>44762</v>
      </c>
      <c r="B31" s="2"/>
      <c r="C31" s="1" t="s">
        <v>112</v>
      </c>
      <c r="D31" s="1">
        <v>1</v>
      </c>
      <c r="E31" s="32">
        <v>561000</v>
      </c>
      <c r="F31" s="32">
        <f t="shared" si="0"/>
        <v>561000</v>
      </c>
      <c r="G31" s="30"/>
      <c r="H31" s="32"/>
      <c r="I31" s="32">
        <f t="shared" si="1"/>
        <v>3483961</v>
      </c>
      <c r="J31" s="32" t="s">
        <v>89</v>
      </c>
      <c r="K31" s="32" t="s">
        <v>89</v>
      </c>
    </row>
    <row r="32" spans="1:11">
      <c r="A32" s="4">
        <v>44762</v>
      </c>
      <c r="B32" s="2"/>
      <c r="C32" s="1" t="s">
        <v>109</v>
      </c>
      <c r="D32" s="1">
        <v>1</v>
      </c>
      <c r="E32" s="32">
        <v>367092</v>
      </c>
      <c r="F32" s="32">
        <f t="shared" si="0"/>
        <v>367092</v>
      </c>
      <c r="G32" s="30"/>
      <c r="H32" s="32"/>
      <c r="I32" s="32">
        <f t="shared" si="1"/>
        <v>3851053</v>
      </c>
      <c r="J32" s="32" t="s">
        <v>89</v>
      </c>
      <c r="K32" s="32" t="s">
        <v>89</v>
      </c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3851053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3851053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3851053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3851053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3851053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3851053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3851053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3851053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3851053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3851053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3851053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3851053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3851053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3851053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3851053</v>
      </c>
      <c r="J47" s="37"/>
      <c r="K47" s="38"/>
    </row>
    <row r="48" spans="1:11">
      <c r="A48" s="16" t="s">
        <v>86</v>
      </c>
      <c r="B48" s="9"/>
      <c r="C48" s="9"/>
      <c r="D48" s="9"/>
      <c r="E48" s="42"/>
      <c r="F48" s="42">
        <f>SUBTOTAL(109,テーブル134[仕入金額])</f>
        <v>11619536</v>
      </c>
      <c r="G48" s="42"/>
      <c r="H48" s="42">
        <f>SUBTOTAL(109,テーブル134[支払金額])</f>
        <v>7768483</v>
      </c>
      <c r="I48" s="42">
        <f>F48-H48</f>
        <v>3851053</v>
      </c>
      <c r="J48" s="42"/>
      <c r="K48" s="43">
        <f>SUBTOTAL(103,テーブル134[裕子])</f>
        <v>31</v>
      </c>
    </row>
    <row r="49" spans="5:11">
      <c r="E49" s="39"/>
      <c r="F49" s="39"/>
      <c r="G49" s="39"/>
      <c r="H49" s="39"/>
      <c r="I49" s="39"/>
      <c r="J49" s="39"/>
      <c r="K49" s="39"/>
    </row>
  </sheetData>
  <phoneticPr fontId="1"/>
  <dataValidations count="4">
    <dataValidation type="list" allowBlank="1" showInputMessage="1" showErrorMessage="1" sqref="G49:G61" xr:uid="{DBC68BB9-DEE0-4ABA-A02E-BFCAB63ADE5B}">
      <formula1>",合銀1,合銀,島銀,振込手数,    "</formula1>
    </dataValidation>
    <dataValidation type="list" allowBlank="1" showInputMessage="1" showErrorMessage="1" sqref="J2:K47" xr:uid="{06D15C7C-06CC-4323-BEDA-C6C969B481E1}">
      <formula1>"  ,済"</formula1>
    </dataValidation>
    <dataValidation type="list" allowBlank="1" showInputMessage="1" showErrorMessage="1" sqref="G2:G47" xr:uid="{938D5264-30B2-4651-B284-AEF73280B1C7}">
      <formula1>",合銀1,合銀,島銀,現金,振込手数,値引"</formula1>
    </dataValidation>
    <dataValidation type="list" allowBlank="1" showInputMessage="1" showErrorMessage="1" sqref="B2:B47" xr:uid="{93B86419-0E27-44BE-AD55-52DB94CED80D}">
      <formula1>"田原,田中,高木,勝田,森山,市村,金築,その他"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&amp;C（株）内田</oddHead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BB446-808C-44CB-BD4E-D28E18B2C54F}">
  <sheetPr codeName="Sheet9">
    <tabColor theme="7" tint="0.39997558519241921"/>
  </sheetPr>
  <dimension ref="A1:K48"/>
  <sheetViews>
    <sheetView workbookViewId="0">
      <pane ySplit="1" topLeftCell="A2" activePane="bottomLeft" state="frozen"/>
      <selection pane="bottomLeft" activeCell="M7" sqref="M7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3.25" bestFit="1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44732</v>
      </c>
      <c r="B2" s="2" t="s">
        <v>97</v>
      </c>
      <c r="C2" s="2" t="s">
        <v>113</v>
      </c>
      <c r="D2" s="2">
        <v>1</v>
      </c>
      <c r="E2" s="30">
        <v>17050</v>
      </c>
      <c r="F2" s="30">
        <f>D2*E2</f>
        <v>17050</v>
      </c>
      <c r="G2" s="30"/>
      <c r="H2" s="30"/>
      <c r="I2" s="30">
        <f>F2-H2</f>
        <v>17050</v>
      </c>
      <c r="J2" s="30" t="s">
        <v>89</v>
      </c>
      <c r="K2" s="30" t="s">
        <v>89</v>
      </c>
    </row>
    <row r="3" spans="1:11">
      <c r="A3" s="48">
        <v>44762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16995</v>
      </c>
      <c r="I3" s="51">
        <f>I2+F3-H3</f>
        <v>55</v>
      </c>
      <c r="J3" s="51" t="s">
        <v>89</v>
      </c>
      <c r="K3" s="51" t="s">
        <v>89</v>
      </c>
    </row>
    <row r="4" spans="1:11">
      <c r="A4" s="48">
        <v>44762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55</v>
      </c>
      <c r="I4" s="51">
        <f t="shared" ref="I4:I47" si="1">I3+F4-H4</f>
        <v>0</v>
      </c>
      <c r="J4" s="51" t="s">
        <v>89</v>
      </c>
      <c r="K4" s="51" t="s">
        <v>89</v>
      </c>
    </row>
    <row r="5" spans="1:11">
      <c r="A5" s="4"/>
      <c r="B5" s="2"/>
      <c r="C5" s="1"/>
      <c r="D5" s="1"/>
      <c r="E5" s="32"/>
      <c r="F5" s="32">
        <f t="shared" si="0"/>
        <v>0</v>
      </c>
      <c r="G5" s="30"/>
      <c r="H5" s="32"/>
      <c r="I5" s="32">
        <f t="shared" si="1"/>
        <v>0</v>
      </c>
      <c r="J5" s="32"/>
      <c r="K5" s="31"/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</row>
    <row r="8" spans="1:11">
      <c r="A8" s="4"/>
      <c r="B8" s="2"/>
      <c r="C8" s="1"/>
      <c r="D8" s="1"/>
      <c r="E8" s="1"/>
      <c r="F8" s="1">
        <f t="shared" si="0"/>
        <v>0</v>
      </c>
      <c r="G8" s="2"/>
      <c r="H8" s="1"/>
      <c r="I8" s="1">
        <f t="shared" si="1"/>
        <v>0</v>
      </c>
      <c r="J8" s="1"/>
      <c r="K8" s="5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40"/>
      <c r="F48" s="40">
        <f>SUBTOTAL(109,テーブル13[仕入金額])</f>
        <v>17050</v>
      </c>
      <c r="G48" s="40"/>
      <c r="H48" s="40">
        <f>SUBTOTAL(109,テーブル13[支払金額])</f>
        <v>17050</v>
      </c>
      <c r="I48" s="40">
        <f>テーブル13[[#Totals],[仕入金額]]-テーブル13[[#Totals],[支払金額]]</f>
        <v>0</v>
      </c>
      <c r="J48" s="40"/>
      <c r="K48" s="41">
        <f>SUBTOTAL(103,テーブル13[裕子])</f>
        <v>3</v>
      </c>
    </row>
  </sheetData>
  <phoneticPr fontId="1"/>
  <dataValidations count="4">
    <dataValidation type="list" allowBlank="1" showInputMessage="1" showErrorMessage="1" sqref="B2:B47" xr:uid="{056B9C29-D2D9-48D7-969C-289D03382D18}">
      <formula1>"田原,田中,高木,勝田,森山,市村,金築,その他"</formula1>
    </dataValidation>
    <dataValidation type="list" allowBlank="1" showInputMessage="1" showErrorMessage="1" sqref="J2:K47" xr:uid="{6DB34A14-D3DA-4A76-9E75-19F8A372AA0D}">
      <formula1>"  ,済"</formula1>
    </dataValidation>
    <dataValidation type="list" allowBlank="1" showInputMessage="1" showErrorMessage="1" sqref="G49:G61" xr:uid="{528E36E1-2022-4563-B1E1-9FB3FDE37D6B}">
      <formula1>",合銀1,合銀,島銀,振込手数,    "</formula1>
    </dataValidation>
    <dataValidation type="list" allowBlank="1" showInputMessage="1" showErrorMessage="1" sqref="G2:G47" xr:uid="{286DDC54-9A73-4422-BE4F-B434DC5A894A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&amp;CNカラー</oddHead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02B6E-29AB-41ED-83F6-41094E35E51E}">
  <sheetPr codeName="Sheet10">
    <tabColor theme="7" tint="0.39997558519241921"/>
  </sheetPr>
  <dimension ref="A1:L50"/>
  <sheetViews>
    <sheetView workbookViewId="0">
      <pane ySplit="1" topLeftCell="A2" activePane="bottomLeft" state="frozen"/>
      <selection pane="bottomLeft" activeCell="J2" sqref="J2:K4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3.25" bestFit="1" customWidth="1"/>
    <col min="8" max="8" width="12.625" customWidth="1"/>
    <col min="9" max="9" width="13.25" bestFit="1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2">
      <c r="A2" s="3">
        <v>44732</v>
      </c>
      <c r="B2" s="2" t="s">
        <v>104</v>
      </c>
      <c r="C2" s="2"/>
      <c r="D2" s="2">
        <v>1</v>
      </c>
      <c r="E2" s="30">
        <v>74800</v>
      </c>
      <c r="F2" s="30">
        <f>D2*E2</f>
        <v>74800</v>
      </c>
      <c r="G2" s="30"/>
      <c r="H2" s="30"/>
      <c r="I2" s="30">
        <f>F2-H2</f>
        <v>74800</v>
      </c>
      <c r="J2" s="30" t="s">
        <v>89</v>
      </c>
      <c r="K2" s="30" t="s">
        <v>89</v>
      </c>
    </row>
    <row r="3" spans="1:12">
      <c r="A3" s="48">
        <v>44762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74690</v>
      </c>
      <c r="I3" s="51">
        <f>I2+F3-H3</f>
        <v>110</v>
      </c>
      <c r="J3" s="51" t="s">
        <v>89</v>
      </c>
      <c r="K3" s="51" t="s">
        <v>89</v>
      </c>
    </row>
    <row r="4" spans="1:12">
      <c r="A4" s="48">
        <v>44762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1" t="s">
        <v>89</v>
      </c>
    </row>
    <row r="5" spans="1:12">
      <c r="A5" s="4"/>
      <c r="B5" s="2"/>
      <c r="C5" s="1"/>
      <c r="D5" s="1"/>
      <c r="E5" s="32"/>
      <c r="F5" s="32">
        <f t="shared" si="0"/>
        <v>0</v>
      </c>
      <c r="G5" s="30"/>
      <c r="H5" s="32"/>
      <c r="I5" s="32">
        <f t="shared" si="1"/>
        <v>0</v>
      </c>
      <c r="J5" s="32"/>
      <c r="K5" s="31"/>
    </row>
    <row r="6" spans="1:12">
      <c r="A6" s="4"/>
      <c r="B6" s="2"/>
      <c r="C6" s="1"/>
      <c r="D6" s="1"/>
      <c r="E6" s="1"/>
      <c r="F6" s="1">
        <f t="shared" si="0"/>
        <v>0</v>
      </c>
      <c r="G6" s="2"/>
      <c r="H6" s="1"/>
      <c r="I6" s="1">
        <f t="shared" si="1"/>
        <v>0</v>
      </c>
      <c r="J6" s="1"/>
      <c r="K6" s="5"/>
    </row>
    <row r="7" spans="1:12">
      <c r="A7" s="4"/>
      <c r="B7" s="2"/>
      <c r="C7" s="1"/>
      <c r="D7" s="1"/>
      <c r="E7" s="1"/>
      <c r="F7" s="1">
        <f t="shared" si="0"/>
        <v>0</v>
      </c>
      <c r="G7" s="2"/>
      <c r="H7" s="1"/>
      <c r="I7" s="1">
        <f t="shared" si="1"/>
        <v>0</v>
      </c>
      <c r="J7" s="1"/>
      <c r="K7" s="5"/>
    </row>
    <row r="8" spans="1:12">
      <c r="A8" s="4"/>
      <c r="B8" s="2"/>
      <c r="C8" s="1"/>
      <c r="D8" s="1"/>
      <c r="E8" s="1"/>
      <c r="F8" s="1">
        <f t="shared" si="0"/>
        <v>0</v>
      </c>
      <c r="G8" s="2"/>
      <c r="H8" s="1"/>
      <c r="I8" s="1">
        <f t="shared" si="1"/>
        <v>0</v>
      </c>
      <c r="J8" s="1"/>
      <c r="K8" s="5"/>
    </row>
    <row r="9" spans="1:12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  <c r="L9" s="39"/>
    </row>
    <row r="10" spans="1:12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  <c r="L10" s="39"/>
    </row>
    <row r="11" spans="1:12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  <c r="L11" s="39"/>
    </row>
    <row r="12" spans="1:12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  <c r="L12" s="39"/>
    </row>
    <row r="13" spans="1:12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  <c r="L13" s="39"/>
    </row>
    <row r="14" spans="1:12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  <c r="L14" s="39"/>
    </row>
    <row r="15" spans="1:12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  <c r="L15" s="39"/>
    </row>
    <row r="16" spans="1:12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  <c r="L16" s="39"/>
    </row>
    <row r="17" spans="1:12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  <c r="L17" s="39"/>
    </row>
    <row r="18" spans="1:12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  <c r="L18" s="39"/>
    </row>
    <row r="19" spans="1:12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  <c r="L19" s="39"/>
    </row>
    <row r="20" spans="1:12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  <c r="L20" s="39"/>
    </row>
    <row r="21" spans="1:12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  <c r="L21" s="39"/>
    </row>
    <row r="22" spans="1:12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  <c r="L22" s="39"/>
    </row>
    <row r="23" spans="1:12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  <c r="L23" s="39"/>
    </row>
    <row r="24" spans="1:12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  <c r="L24" s="39"/>
    </row>
    <row r="25" spans="1:12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  <c r="L25" s="39"/>
    </row>
    <row r="26" spans="1:12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  <c r="L26" s="39"/>
    </row>
    <row r="27" spans="1:12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  <c r="L27" s="39"/>
    </row>
    <row r="28" spans="1:12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  <c r="L28" s="39"/>
    </row>
    <row r="29" spans="1:12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  <c r="L29" s="39"/>
    </row>
    <row r="30" spans="1:12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  <c r="L30" s="39"/>
    </row>
    <row r="31" spans="1:12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  <c r="L31" s="39"/>
    </row>
    <row r="32" spans="1:12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  <c r="L32" s="39"/>
    </row>
    <row r="33" spans="1:12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  <c r="L33" s="39"/>
    </row>
    <row r="34" spans="1:12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  <c r="L34" s="39"/>
    </row>
    <row r="35" spans="1:12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  <c r="L35" s="39"/>
    </row>
    <row r="36" spans="1:12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  <c r="L36" s="39"/>
    </row>
    <row r="37" spans="1:12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  <c r="L37" s="39"/>
    </row>
    <row r="38" spans="1:12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  <c r="L38" s="39"/>
    </row>
    <row r="39" spans="1:12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  <c r="L39" s="39"/>
    </row>
    <row r="40" spans="1:12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  <c r="L40" s="39"/>
    </row>
    <row r="41" spans="1:12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  <c r="L41" s="39"/>
    </row>
    <row r="42" spans="1:12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  <c r="L42" s="39"/>
    </row>
    <row r="43" spans="1:12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  <c r="L43" s="39"/>
    </row>
    <row r="44" spans="1:12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  <c r="L44" s="39"/>
    </row>
    <row r="45" spans="1:12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  <c r="L45" s="39"/>
    </row>
    <row r="46" spans="1:12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  <c r="L46" s="39"/>
    </row>
    <row r="47" spans="1:12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  <c r="L47" s="39"/>
    </row>
    <row r="48" spans="1:12">
      <c r="A48" s="16" t="s">
        <v>86</v>
      </c>
      <c r="B48" s="9"/>
      <c r="C48" s="9"/>
      <c r="D48" s="9"/>
      <c r="E48" s="40"/>
      <c r="F48" s="40">
        <f>SUBTOTAL(109,テーブル1312[仕入金額])</f>
        <v>74800</v>
      </c>
      <c r="G48" s="40"/>
      <c r="H48" s="40">
        <f>SUBTOTAL(109,テーブル1312[支払金額])</f>
        <v>74800</v>
      </c>
      <c r="I48" s="40">
        <f>テーブル1312[[#Totals],[仕入金額]]-テーブル1312[[#Totals],[支払金額]]</f>
        <v>0</v>
      </c>
      <c r="J48" s="40"/>
      <c r="K48" s="41">
        <f>SUBTOTAL(103,テーブル1312[裕子])</f>
        <v>3</v>
      </c>
      <c r="L48" s="39"/>
    </row>
    <row r="49" spans="5:12">
      <c r="E49" s="39"/>
      <c r="F49" s="39"/>
      <c r="G49" s="39"/>
      <c r="H49" s="39"/>
      <c r="I49" s="39"/>
      <c r="J49" s="39"/>
      <c r="K49" s="39"/>
      <c r="L49" s="39"/>
    </row>
    <row r="50" spans="5:12">
      <c r="E50" s="39"/>
      <c r="F50" s="39"/>
      <c r="G50" s="39"/>
      <c r="H50" s="39"/>
      <c r="I50" s="39"/>
      <c r="J50" s="39"/>
      <c r="K50" s="39"/>
      <c r="L50" s="39"/>
    </row>
  </sheetData>
  <phoneticPr fontId="1"/>
  <dataValidations count="4">
    <dataValidation type="list" allowBlank="1" showInputMessage="1" showErrorMessage="1" sqref="G49:G61" xr:uid="{CA2935F2-30DB-4EA9-BDBA-A2D42BD40758}">
      <formula1>",合銀1,合銀,島銀,振込手数,    "</formula1>
    </dataValidation>
    <dataValidation type="list" allowBlank="1" showInputMessage="1" showErrorMessage="1" sqref="J2:K47" xr:uid="{9FB1B9EB-694F-4E18-BD14-B729A2B34D4F}">
      <formula1>"  ,済"</formula1>
    </dataValidation>
    <dataValidation type="list" allowBlank="1" showInputMessage="1" showErrorMessage="1" sqref="B2:B47" xr:uid="{C841EBD0-0307-498F-994A-09B9DBFA9C6F}">
      <formula1>"田原,田中,高木,勝田,森山,市村,金築,その他"</formula1>
    </dataValidation>
    <dataValidation type="list" allowBlank="1" showInputMessage="1" showErrorMessage="1" sqref="G2:G47" xr:uid="{E0BE456D-62B1-4B50-A05A-98A93693252F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&amp;Cエムエイチ</oddHead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8070A-0FEB-484E-BC75-D0F70881BBA5}">
  <sheetPr codeName="Sheet11">
    <tabColor theme="7" tint="0.39997558519241921"/>
  </sheetPr>
  <dimension ref="A1:K49"/>
  <sheetViews>
    <sheetView workbookViewId="0">
      <pane ySplit="1" topLeftCell="A5" activePane="bottomLeft" state="frozen"/>
      <selection pane="bottomLeft" activeCell="M12" sqref="M12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3.25" bestFit="1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88</v>
      </c>
      <c r="D2" s="2">
        <v>1</v>
      </c>
      <c r="E2" s="30">
        <v>14080</v>
      </c>
      <c r="F2" s="30">
        <f>D2*E2</f>
        <v>14080</v>
      </c>
      <c r="G2" s="30"/>
      <c r="H2" s="30"/>
      <c r="I2" s="30">
        <f>F2-H2</f>
        <v>14080</v>
      </c>
      <c r="J2" s="30"/>
      <c r="K2" s="31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14025</v>
      </c>
      <c r="I3" s="51">
        <f>I2+F3-H3</f>
        <v>55</v>
      </c>
      <c r="J3" s="51" t="s">
        <v>89</v>
      </c>
      <c r="K3" s="53" t="s">
        <v>89</v>
      </c>
    </row>
    <row r="4" spans="1:11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55</v>
      </c>
      <c r="I4" s="51">
        <f t="shared" ref="I4:I47" si="1">I3+F4-H4</f>
        <v>0</v>
      </c>
      <c r="J4" s="51" t="s">
        <v>89</v>
      </c>
      <c r="K4" s="53" t="s">
        <v>89</v>
      </c>
    </row>
    <row r="5" spans="1:11">
      <c r="A5" s="4">
        <v>44701</v>
      </c>
      <c r="B5" s="2" t="s">
        <v>101</v>
      </c>
      <c r="C5" s="1"/>
      <c r="D5" s="1">
        <v>1</v>
      </c>
      <c r="E5" s="32">
        <v>16060</v>
      </c>
      <c r="F5" s="32">
        <f t="shared" si="0"/>
        <v>16060</v>
      </c>
      <c r="G5" s="30"/>
      <c r="H5" s="32"/>
      <c r="I5" s="32">
        <f t="shared" si="1"/>
        <v>16060</v>
      </c>
      <c r="J5" s="32" t="s">
        <v>89</v>
      </c>
      <c r="K5" s="31" t="s">
        <v>89</v>
      </c>
    </row>
    <row r="6" spans="1:11">
      <c r="A6" s="48">
        <v>44732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16005</v>
      </c>
      <c r="I6" s="51">
        <f t="shared" si="1"/>
        <v>55</v>
      </c>
      <c r="J6" s="51" t="s">
        <v>89</v>
      </c>
      <c r="K6" s="53" t="s">
        <v>89</v>
      </c>
    </row>
    <row r="7" spans="1:11">
      <c r="A7" s="48">
        <v>44732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55</v>
      </c>
      <c r="I7" s="51">
        <f t="shared" si="1"/>
        <v>0</v>
      </c>
      <c r="J7" s="51" t="s">
        <v>89</v>
      </c>
      <c r="K7" s="53" t="s">
        <v>89</v>
      </c>
    </row>
    <row r="8" spans="1:11">
      <c r="A8" s="4">
        <v>44732</v>
      </c>
      <c r="B8" s="2" t="s">
        <v>101</v>
      </c>
      <c r="C8" s="1"/>
      <c r="D8" s="1">
        <v>1</v>
      </c>
      <c r="E8" s="32">
        <v>8800</v>
      </c>
      <c r="F8" s="32">
        <f t="shared" si="0"/>
        <v>8800</v>
      </c>
      <c r="G8" s="30"/>
      <c r="H8" s="32"/>
      <c r="I8" s="32">
        <f t="shared" si="1"/>
        <v>8800</v>
      </c>
      <c r="J8" s="32" t="s">
        <v>89</v>
      </c>
      <c r="K8" s="32" t="s">
        <v>89</v>
      </c>
    </row>
    <row r="9" spans="1:11">
      <c r="A9" s="48">
        <v>44762</v>
      </c>
      <c r="B9" s="49"/>
      <c r="C9" s="50"/>
      <c r="D9" s="50"/>
      <c r="E9" s="51"/>
      <c r="F9" s="51">
        <f t="shared" si="0"/>
        <v>0</v>
      </c>
      <c r="G9" s="52" t="s">
        <v>90</v>
      </c>
      <c r="H9" s="51">
        <v>8745</v>
      </c>
      <c r="I9" s="51">
        <f t="shared" si="1"/>
        <v>55</v>
      </c>
      <c r="J9" s="51" t="s">
        <v>89</v>
      </c>
      <c r="K9" s="51" t="s">
        <v>89</v>
      </c>
    </row>
    <row r="10" spans="1:11">
      <c r="A10" s="48">
        <v>44762</v>
      </c>
      <c r="B10" s="49"/>
      <c r="C10" s="50"/>
      <c r="D10" s="50"/>
      <c r="E10" s="51"/>
      <c r="F10" s="51">
        <f t="shared" si="0"/>
        <v>0</v>
      </c>
      <c r="G10" s="52" t="s">
        <v>91</v>
      </c>
      <c r="H10" s="51">
        <v>55</v>
      </c>
      <c r="I10" s="51">
        <f t="shared" si="1"/>
        <v>0</v>
      </c>
      <c r="J10" s="51" t="s">
        <v>89</v>
      </c>
      <c r="K10" s="51" t="s">
        <v>89</v>
      </c>
    </row>
    <row r="11" spans="1:11">
      <c r="A11" s="4">
        <v>44762</v>
      </c>
      <c r="B11" s="2" t="s">
        <v>101</v>
      </c>
      <c r="C11" s="1"/>
      <c r="D11" s="1">
        <v>1</v>
      </c>
      <c r="E11" s="32">
        <v>8800</v>
      </c>
      <c r="F11" s="32">
        <f t="shared" si="0"/>
        <v>8800</v>
      </c>
      <c r="G11" s="30"/>
      <c r="H11" s="32"/>
      <c r="I11" s="32">
        <f t="shared" si="1"/>
        <v>8800</v>
      </c>
      <c r="J11" s="32" t="s">
        <v>89</v>
      </c>
      <c r="K11" s="32" t="s">
        <v>89</v>
      </c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8800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8800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8800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8800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8800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8800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8800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8800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8800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8800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8800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8800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8800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8800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8800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8800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8800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8800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8800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8800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8800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8800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8800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8800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8800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8800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8800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8800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8800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8800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8800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8800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8800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8800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8800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8800</v>
      </c>
      <c r="J47" s="37"/>
      <c r="K47" s="38"/>
    </row>
    <row r="48" spans="1:11">
      <c r="A48" s="16" t="s">
        <v>86</v>
      </c>
      <c r="B48" s="9"/>
      <c r="C48" s="9"/>
      <c r="D48" s="9"/>
      <c r="E48" s="42"/>
      <c r="F48" s="42">
        <f>SUBTOTAL(109,テーブル131213[仕入金額])</f>
        <v>47740</v>
      </c>
      <c r="G48" s="42"/>
      <c r="H48" s="42">
        <f>SUBTOTAL(109,テーブル131213[支払金額])</f>
        <v>38940</v>
      </c>
      <c r="I48" s="42">
        <f>テーブル131213[[#Totals],[仕入金額]]-テーブル131213[[#Totals],[支払金額]]</f>
        <v>8800</v>
      </c>
      <c r="J48" s="42"/>
      <c r="K48" s="43">
        <f>SUBTOTAL(103,テーブル131213[裕子])</f>
        <v>10</v>
      </c>
    </row>
    <row r="49" spans="5:11">
      <c r="E49" s="39"/>
      <c r="F49" s="39"/>
      <c r="G49" s="39"/>
      <c r="H49" s="39"/>
      <c r="I49" s="39"/>
      <c r="J49" s="39"/>
      <c r="K49" s="39"/>
    </row>
  </sheetData>
  <phoneticPr fontId="1"/>
  <dataValidations count="4">
    <dataValidation type="list" allowBlank="1" showInputMessage="1" showErrorMessage="1" sqref="B2:B47" xr:uid="{77AE875D-B527-4A9D-8332-07B30A75CD8F}">
      <formula1>"田原,田中,高木,勝田,森山,市村,金築,その他"</formula1>
    </dataValidation>
    <dataValidation type="list" allowBlank="1" showInputMessage="1" showErrorMessage="1" sqref="J2:K47" xr:uid="{B7866169-EC98-489A-B609-239CF14C9419}">
      <formula1>"  ,済"</formula1>
    </dataValidation>
    <dataValidation type="list" allowBlank="1" showInputMessage="1" showErrorMessage="1" sqref="G49:G61" xr:uid="{C5D5D4B5-376D-4F74-86C6-F1598861DD75}">
      <formula1>",合銀1,合銀,島銀,振込手数,    "</formula1>
    </dataValidation>
    <dataValidation type="list" allowBlank="1" showInputMessage="1" showErrorMessage="1" sqref="G2:G47" xr:uid="{418298DA-4374-4367-B76B-7AC187056BEC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&amp;COKリース</oddHeader>
  </headerFooter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651CD-DF34-4ACD-A72B-9B424E76758B}">
  <sheetPr codeName="Sheet12">
    <tabColor theme="7" tint="0.39997558519241921"/>
  </sheetPr>
  <dimension ref="A1:K48"/>
  <sheetViews>
    <sheetView workbookViewId="0">
      <pane ySplit="1" topLeftCell="A2" activePane="bottomLeft" state="frozen"/>
      <selection pane="bottomLeft" activeCell="M11" sqref="M11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3.25" bestFit="1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44701</v>
      </c>
      <c r="B2" s="2" t="s">
        <v>97</v>
      </c>
      <c r="C2" s="2" t="s">
        <v>114</v>
      </c>
      <c r="D2" s="2">
        <v>1</v>
      </c>
      <c r="E2" s="30">
        <v>95920</v>
      </c>
      <c r="F2" s="30">
        <f>D2*E2</f>
        <v>95920</v>
      </c>
      <c r="G2" s="30"/>
      <c r="H2" s="30"/>
      <c r="I2" s="30">
        <f>F2-H2</f>
        <v>95920</v>
      </c>
      <c r="J2" s="30" t="s">
        <v>89</v>
      </c>
      <c r="K2" s="31" t="s">
        <v>89</v>
      </c>
    </row>
    <row r="3" spans="1:11">
      <c r="A3" s="48">
        <v>44732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95810</v>
      </c>
      <c r="I3" s="51">
        <f>I2+F3-H3</f>
        <v>110</v>
      </c>
      <c r="J3" s="51" t="s">
        <v>89</v>
      </c>
      <c r="K3" s="53" t="s">
        <v>89</v>
      </c>
    </row>
    <row r="4" spans="1:11">
      <c r="A4" s="48">
        <v>44732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3" t="s">
        <v>89</v>
      </c>
    </row>
    <row r="5" spans="1:11">
      <c r="A5" s="4">
        <v>44732</v>
      </c>
      <c r="B5" s="2" t="s">
        <v>101</v>
      </c>
      <c r="C5" s="1" t="s">
        <v>115</v>
      </c>
      <c r="D5" s="1">
        <v>1</v>
      </c>
      <c r="E5" s="32">
        <v>341000</v>
      </c>
      <c r="F5" s="32">
        <f t="shared" si="0"/>
        <v>341000</v>
      </c>
      <c r="G5" s="30"/>
      <c r="H5" s="32"/>
      <c r="I5" s="32">
        <f t="shared" si="1"/>
        <v>341000</v>
      </c>
      <c r="J5" s="32" t="s">
        <v>89</v>
      </c>
      <c r="K5" s="32" t="s">
        <v>89</v>
      </c>
    </row>
    <row r="6" spans="1:11">
      <c r="A6" s="4">
        <v>44732</v>
      </c>
      <c r="B6" s="2" t="s">
        <v>101</v>
      </c>
      <c r="C6" s="1" t="s">
        <v>116</v>
      </c>
      <c r="D6" s="1">
        <v>1</v>
      </c>
      <c r="E6" s="32">
        <v>1617165</v>
      </c>
      <c r="F6" s="32">
        <f t="shared" si="0"/>
        <v>1617165</v>
      </c>
      <c r="G6" s="30"/>
      <c r="H6" s="32"/>
      <c r="I6" s="32">
        <f t="shared" si="1"/>
        <v>1958165</v>
      </c>
      <c r="J6" s="32" t="s">
        <v>89</v>
      </c>
      <c r="K6" s="32" t="s">
        <v>89</v>
      </c>
    </row>
    <row r="7" spans="1:11">
      <c r="A7" s="48">
        <v>44762</v>
      </c>
      <c r="B7" s="49"/>
      <c r="C7" s="50"/>
      <c r="D7" s="50"/>
      <c r="E7" s="51"/>
      <c r="F7" s="51">
        <f t="shared" si="0"/>
        <v>0</v>
      </c>
      <c r="G7" s="52" t="s">
        <v>90</v>
      </c>
      <c r="H7" s="51">
        <v>1958055</v>
      </c>
      <c r="I7" s="51">
        <f t="shared" si="1"/>
        <v>110</v>
      </c>
      <c r="J7" s="51" t="s">
        <v>89</v>
      </c>
      <c r="K7" s="51" t="s">
        <v>89</v>
      </c>
    </row>
    <row r="8" spans="1:11">
      <c r="A8" s="48">
        <v>44762</v>
      </c>
      <c r="B8" s="49"/>
      <c r="C8" s="50"/>
      <c r="D8" s="50"/>
      <c r="E8" s="51"/>
      <c r="F8" s="51">
        <f t="shared" si="0"/>
        <v>0</v>
      </c>
      <c r="G8" s="52" t="s">
        <v>91</v>
      </c>
      <c r="H8" s="51">
        <v>110</v>
      </c>
      <c r="I8" s="51">
        <f t="shared" si="1"/>
        <v>0</v>
      </c>
      <c r="J8" s="51" t="s">
        <v>89</v>
      </c>
      <c r="K8" s="51" t="s">
        <v>89</v>
      </c>
    </row>
    <row r="9" spans="1:11">
      <c r="A9" s="4">
        <v>44762</v>
      </c>
      <c r="B9" s="2" t="s">
        <v>104</v>
      </c>
      <c r="C9" s="1" t="s">
        <v>116</v>
      </c>
      <c r="D9" s="1">
        <v>1</v>
      </c>
      <c r="E9" s="32">
        <v>882090</v>
      </c>
      <c r="F9" s="32">
        <f t="shared" si="0"/>
        <v>882090</v>
      </c>
      <c r="G9" s="30"/>
      <c r="H9" s="32"/>
      <c r="I9" s="32">
        <f t="shared" si="1"/>
        <v>882090</v>
      </c>
      <c r="J9" s="32" t="s">
        <v>89</v>
      </c>
      <c r="K9" s="32" t="s">
        <v>89</v>
      </c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882090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882090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882090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882090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882090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882090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882090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882090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882090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882090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882090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882090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882090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882090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882090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882090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882090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882090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882090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882090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882090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882090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882090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882090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882090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882090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882090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882090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882090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882090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882090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882090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882090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882090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882090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882090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882090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882090</v>
      </c>
      <c r="J47" s="37"/>
      <c r="K47" s="38"/>
    </row>
    <row r="48" spans="1:11">
      <c r="A48" s="16" t="s">
        <v>86</v>
      </c>
      <c r="B48" s="9"/>
      <c r="C48" s="9"/>
      <c r="D48" s="9"/>
      <c r="E48" s="42"/>
      <c r="F48" s="42">
        <f>SUBTOTAL(109,テーブル13121314[仕入金額])</f>
        <v>2936175</v>
      </c>
      <c r="G48" s="42"/>
      <c r="H48" s="42">
        <f>SUBTOTAL(109,テーブル13121314[支払金額])</f>
        <v>2054085</v>
      </c>
      <c r="I48" s="42">
        <f>テーブル13121314[[#Totals],[仕入金額]]-テーブル13121314[[#Totals],[支払金額]]</f>
        <v>882090</v>
      </c>
      <c r="J48" s="42"/>
      <c r="K48" s="43">
        <f>SUBTOTAL(103,テーブル13121314[裕子])</f>
        <v>8</v>
      </c>
    </row>
  </sheetData>
  <phoneticPr fontId="1"/>
  <dataValidations count="4">
    <dataValidation type="list" allowBlank="1" showInputMessage="1" showErrorMessage="1" sqref="G49:G61" xr:uid="{E0990C56-1016-4480-9672-4698AFA37CBA}">
      <formula1>",合銀1,合銀,島銀,振込手数,    "</formula1>
    </dataValidation>
    <dataValidation type="list" allowBlank="1" showInputMessage="1" showErrorMessage="1" sqref="J2:K47" xr:uid="{EA14004D-6605-4105-8E51-25DC8C621C9F}">
      <formula1>"  ,済"</formula1>
    </dataValidation>
    <dataValidation type="list" allowBlank="1" showInputMessage="1" showErrorMessage="1" sqref="B2:B47" xr:uid="{7BF90568-2591-4895-AE71-5B3D85986F3A}">
      <formula1>"田原,田中,高木,勝田,森山,市村,金築,その他"</formula1>
    </dataValidation>
    <dataValidation type="list" allowBlank="1" showInputMessage="1" showErrorMessage="1" sqref="G2:G47" xr:uid="{79CA9DFC-6CC8-415C-A2AD-9FB6ED7A053E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&amp;C太田建材</oddHeader>
  </headerFooter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21CD6-5288-40F5-A315-3A9F94028EF4}">
  <sheetPr codeName="Sheet13">
    <tabColor theme="7" tint="0.39997558519241921"/>
  </sheetPr>
  <dimension ref="A1:L48"/>
  <sheetViews>
    <sheetView workbookViewId="0">
      <pane ySplit="1" topLeftCell="A2" activePane="bottomLeft" state="frozen"/>
      <selection pane="bottomLeft" activeCell="N4" sqref="N4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3.25" bestFit="1" customWidth="1"/>
    <col min="8" max="8" width="12.625" customWidth="1"/>
    <col min="9" max="9" width="13.25" bestFit="1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2">
      <c r="A2" s="3">
        <v>44701</v>
      </c>
      <c r="B2" s="2" t="s">
        <v>104</v>
      </c>
      <c r="C2" s="2"/>
      <c r="D2" s="2">
        <v>1</v>
      </c>
      <c r="E2" s="30">
        <v>880000</v>
      </c>
      <c r="F2" s="30">
        <f>D2*E2</f>
        <v>880000</v>
      </c>
      <c r="G2" s="30"/>
      <c r="H2" s="30"/>
      <c r="I2" s="30">
        <f>F2-H2</f>
        <v>880000</v>
      </c>
      <c r="J2" s="30" t="s">
        <v>89</v>
      </c>
      <c r="K2" s="31" t="s">
        <v>89</v>
      </c>
    </row>
    <row r="3" spans="1:12">
      <c r="A3" s="4">
        <v>44701</v>
      </c>
      <c r="B3" s="2" t="s">
        <v>101</v>
      </c>
      <c r="C3" s="1"/>
      <c r="D3" s="1">
        <v>1</v>
      </c>
      <c r="E3" s="32">
        <v>1282600</v>
      </c>
      <c r="F3" s="32">
        <f t="shared" ref="F3:F47" si="0">D3*E3</f>
        <v>1282600</v>
      </c>
      <c r="G3" s="30"/>
      <c r="H3" s="32"/>
      <c r="I3" s="32">
        <f>I2+F3-H3</f>
        <v>2162600</v>
      </c>
      <c r="J3" s="32" t="s">
        <v>89</v>
      </c>
      <c r="K3" s="31" t="s">
        <v>89</v>
      </c>
    </row>
    <row r="4" spans="1:12">
      <c r="A4" s="48">
        <v>44732</v>
      </c>
      <c r="B4" s="49"/>
      <c r="C4" s="50"/>
      <c r="D4" s="50"/>
      <c r="E4" s="51"/>
      <c r="F4" s="51">
        <f t="shared" si="0"/>
        <v>0</v>
      </c>
      <c r="G4" s="52" t="s">
        <v>90</v>
      </c>
      <c r="H4" s="51">
        <v>2162050</v>
      </c>
      <c r="I4" s="51">
        <f t="shared" ref="I4:I47" si="1">I3+F4-H4</f>
        <v>550</v>
      </c>
      <c r="J4" s="51" t="s">
        <v>89</v>
      </c>
      <c r="K4" s="53" t="s">
        <v>89</v>
      </c>
    </row>
    <row r="5" spans="1:12">
      <c r="A5" s="48">
        <v>44732</v>
      </c>
      <c r="B5" s="49"/>
      <c r="C5" s="50"/>
      <c r="D5" s="50"/>
      <c r="E5" s="51"/>
      <c r="F5" s="51">
        <f t="shared" si="0"/>
        <v>0</v>
      </c>
      <c r="G5" s="52" t="s">
        <v>91</v>
      </c>
      <c r="H5" s="51">
        <v>550</v>
      </c>
      <c r="I5" s="51">
        <f t="shared" si="1"/>
        <v>0</v>
      </c>
      <c r="J5" s="51" t="s">
        <v>89</v>
      </c>
      <c r="K5" s="53" t="s">
        <v>89</v>
      </c>
    </row>
    <row r="6" spans="1:12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</row>
    <row r="7" spans="1:12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</row>
    <row r="8" spans="1:12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2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  <c r="L9" s="39"/>
    </row>
    <row r="10" spans="1:12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  <c r="L10" s="39"/>
    </row>
    <row r="11" spans="1:12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  <c r="L11" s="39"/>
    </row>
    <row r="12" spans="1:12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  <c r="L12" s="39"/>
    </row>
    <row r="13" spans="1:12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  <c r="L13" s="39"/>
    </row>
    <row r="14" spans="1:12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  <c r="L14" s="39"/>
    </row>
    <row r="15" spans="1:12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  <c r="L15" s="39"/>
    </row>
    <row r="16" spans="1:12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  <c r="L16" s="39"/>
    </row>
    <row r="17" spans="1:12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  <c r="L17" s="39"/>
    </row>
    <row r="18" spans="1:12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  <c r="L18" s="39"/>
    </row>
    <row r="19" spans="1:12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  <c r="L19" s="39"/>
    </row>
    <row r="20" spans="1:12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  <c r="L20" s="39"/>
    </row>
    <row r="21" spans="1:12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  <c r="L21" s="39"/>
    </row>
    <row r="22" spans="1:12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  <c r="L22" s="39"/>
    </row>
    <row r="23" spans="1:12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  <c r="L23" s="39"/>
    </row>
    <row r="24" spans="1:12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  <c r="L24" s="39"/>
    </row>
    <row r="25" spans="1:12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  <c r="L25" s="39"/>
    </row>
    <row r="26" spans="1:12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  <c r="L26" s="39"/>
    </row>
    <row r="27" spans="1:12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  <c r="L27" s="39"/>
    </row>
    <row r="28" spans="1:12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  <c r="L28" s="39"/>
    </row>
    <row r="29" spans="1:12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  <c r="L29" s="39"/>
    </row>
    <row r="30" spans="1:12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  <c r="L30" s="39"/>
    </row>
    <row r="31" spans="1:12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  <c r="L31" s="39"/>
    </row>
    <row r="32" spans="1:12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  <c r="L32" s="39"/>
    </row>
    <row r="33" spans="1:12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  <c r="L33" s="39"/>
    </row>
    <row r="34" spans="1:12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  <c r="L34" s="39"/>
    </row>
    <row r="35" spans="1:12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  <c r="L35" s="39"/>
    </row>
    <row r="36" spans="1:12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  <c r="L36" s="39"/>
    </row>
    <row r="37" spans="1:12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  <c r="L37" s="39"/>
    </row>
    <row r="38" spans="1:12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  <c r="L38" s="39"/>
    </row>
    <row r="39" spans="1:12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  <c r="L39" s="39"/>
    </row>
    <row r="40" spans="1:12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  <c r="L40" s="39"/>
    </row>
    <row r="41" spans="1:12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  <c r="L41" s="39"/>
    </row>
    <row r="42" spans="1:12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  <c r="L42" s="39"/>
    </row>
    <row r="43" spans="1:12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  <c r="L43" s="39"/>
    </row>
    <row r="44" spans="1:12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  <c r="L44" s="39"/>
    </row>
    <row r="45" spans="1:12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  <c r="L45" s="39"/>
    </row>
    <row r="46" spans="1:12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  <c r="L46" s="39"/>
    </row>
    <row r="47" spans="1:12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  <c r="L47" s="39"/>
    </row>
    <row r="48" spans="1:12">
      <c r="A48" s="16" t="s">
        <v>86</v>
      </c>
      <c r="B48" s="9"/>
      <c r="C48" s="9"/>
      <c r="D48" s="9"/>
      <c r="E48" s="40"/>
      <c r="F48" s="40">
        <f>SUBTOTAL(109,テーブル1312131415[仕入金額])</f>
        <v>2162600</v>
      </c>
      <c r="G48" s="40"/>
      <c r="H48" s="40">
        <f>SUBTOTAL(109,テーブル1312131415[支払金額])</f>
        <v>2162600</v>
      </c>
      <c r="I48" s="40">
        <f>テーブル1312131415[[#Totals],[仕入金額]]-テーブル1312131415[[#Totals],[支払金額]]</f>
        <v>0</v>
      </c>
      <c r="J48" s="40"/>
      <c r="K48" s="41">
        <f>SUBTOTAL(103,テーブル1312131415[裕子])</f>
        <v>4</v>
      </c>
      <c r="L48" s="39"/>
    </row>
  </sheetData>
  <phoneticPr fontId="1"/>
  <dataValidations count="4">
    <dataValidation type="list" allowBlank="1" showInputMessage="1" showErrorMessage="1" sqref="B2:B47" xr:uid="{B10F5036-1472-4BEA-A6FA-328646D8D636}">
      <formula1>"田原,田中,高木,勝田,森山,市村,金築,その他"</formula1>
    </dataValidation>
    <dataValidation type="list" allowBlank="1" showInputMessage="1" showErrorMessage="1" sqref="J2:K47" xr:uid="{386A17A7-7B6A-4F32-89A3-48E4F0AD4035}">
      <formula1>"  ,済"</formula1>
    </dataValidation>
    <dataValidation type="list" allowBlank="1" showInputMessage="1" showErrorMessage="1" sqref="G49:G61" xr:uid="{6F6E22E1-26CE-4825-A50D-72445AD45EBA}">
      <formula1>",合銀1,合銀,島銀,振込手数,    "</formula1>
    </dataValidation>
    <dataValidation type="list" allowBlank="1" showInputMessage="1" showErrorMessage="1" sqref="G2:G47" xr:uid="{0C4882E3-514E-437D-8465-8169C29C39F2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&amp;C大森土建</oddHeader>
  </headerFooter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F2C6E-3009-48DB-81F5-76A2A5FFDEBD}">
  <sheetPr codeName="Sheet14">
    <tabColor theme="7" tint="0.39997558519241921"/>
  </sheetPr>
  <dimension ref="A1:K48"/>
  <sheetViews>
    <sheetView workbookViewId="0">
      <pane ySplit="1" topLeftCell="A8" activePane="bottomLeft" state="frozen"/>
      <selection pane="bottomLeft" activeCell="J9" sqref="J9:K16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3.25" bestFit="1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88</v>
      </c>
      <c r="D2" s="2">
        <v>1</v>
      </c>
      <c r="E2" s="30">
        <v>183920</v>
      </c>
      <c r="F2" s="30">
        <f>D2*E2</f>
        <v>183920</v>
      </c>
      <c r="G2" s="30"/>
      <c r="H2" s="30"/>
      <c r="I2" s="30">
        <f>F2-H2</f>
        <v>183920</v>
      </c>
      <c r="J2" s="30"/>
      <c r="K2" s="31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183810</v>
      </c>
      <c r="I3" s="51">
        <f>I2+F3-H3</f>
        <v>110</v>
      </c>
      <c r="J3" s="51" t="s">
        <v>89</v>
      </c>
      <c r="K3" s="53" t="s">
        <v>89</v>
      </c>
    </row>
    <row r="4" spans="1:11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3" t="s">
        <v>89</v>
      </c>
    </row>
    <row r="5" spans="1:11">
      <c r="A5" s="4">
        <v>44701</v>
      </c>
      <c r="B5" s="2"/>
      <c r="C5" s="1" t="s">
        <v>117</v>
      </c>
      <c r="D5" s="1">
        <v>1</v>
      </c>
      <c r="E5" s="32">
        <v>15400</v>
      </c>
      <c r="F5" s="32">
        <f t="shared" si="0"/>
        <v>15400</v>
      </c>
      <c r="G5" s="30"/>
      <c r="H5" s="32"/>
      <c r="I5" s="32">
        <f t="shared" si="1"/>
        <v>15400</v>
      </c>
      <c r="J5" s="32" t="s">
        <v>89</v>
      </c>
      <c r="K5" s="31" t="s">
        <v>89</v>
      </c>
    </row>
    <row r="6" spans="1:11">
      <c r="A6" s="4">
        <v>44701</v>
      </c>
      <c r="B6" s="2"/>
      <c r="C6" s="1" t="s">
        <v>118</v>
      </c>
      <c r="D6" s="1">
        <v>1</v>
      </c>
      <c r="E6" s="32">
        <v>6930</v>
      </c>
      <c r="F6" s="32">
        <f t="shared" si="0"/>
        <v>6930</v>
      </c>
      <c r="G6" s="30"/>
      <c r="H6" s="32"/>
      <c r="I6" s="32">
        <f t="shared" si="1"/>
        <v>22330</v>
      </c>
      <c r="J6" s="32" t="s">
        <v>89</v>
      </c>
      <c r="K6" s="31" t="s">
        <v>89</v>
      </c>
    </row>
    <row r="7" spans="1:11">
      <c r="A7" s="4">
        <v>44701</v>
      </c>
      <c r="B7" s="2" t="s">
        <v>101</v>
      </c>
      <c r="C7" s="1"/>
      <c r="D7" s="1">
        <v>1</v>
      </c>
      <c r="E7" s="32">
        <v>1320</v>
      </c>
      <c r="F7" s="32">
        <f t="shared" si="0"/>
        <v>1320</v>
      </c>
      <c r="G7" s="30"/>
      <c r="H7" s="32"/>
      <c r="I7" s="32">
        <f t="shared" si="1"/>
        <v>23650</v>
      </c>
      <c r="J7" s="32" t="s">
        <v>89</v>
      </c>
      <c r="K7" s="31" t="s">
        <v>89</v>
      </c>
    </row>
    <row r="8" spans="1:11">
      <c r="A8" s="48">
        <v>44732</v>
      </c>
      <c r="B8" s="49"/>
      <c r="C8" s="50"/>
      <c r="D8" s="50"/>
      <c r="E8" s="51"/>
      <c r="F8" s="51">
        <f t="shared" si="0"/>
        <v>0</v>
      </c>
      <c r="G8" s="52" t="s">
        <v>40</v>
      </c>
      <c r="H8" s="51">
        <v>23650</v>
      </c>
      <c r="I8" s="51">
        <f t="shared" si="1"/>
        <v>0</v>
      </c>
      <c r="J8" s="51" t="s">
        <v>89</v>
      </c>
      <c r="K8" s="53" t="s">
        <v>89</v>
      </c>
    </row>
    <row r="9" spans="1:11">
      <c r="A9" s="4">
        <v>44732</v>
      </c>
      <c r="B9" s="2" t="s">
        <v>104</v>
      </c>
      <c r="C9" s="1"/>
      <c r="D9" s="1">
        <v>1</v>
      </c>
      <c r="E9" s="32">
        <v>49500</v>
      </c>
      <c r="F9" s="32">
        <f t="shared" si="0"/>
        <v>49500</v>
      </c>
      <c r="G9" s="30"/>
      <c r="H9" s="32"/>
      <c r="I9" s="32">
        <f t="shared" si="1"/>
        <v>49500</v>
      </c>
      <c r="J9" s="32" t="s">
        <v>89</v>
      </c>
      <c r="K9" s="32" t="s">
        <v>89</v>
      </c>
    </row>
    <row r="10" spans="1:11">
      <c r="A10" s="4">
        <v>44732</v>
      </c>
      <c r="B10" s="2" t="s">
        <v>95</v>
      </c>
      <c r="C10" s="1"/>
      <c r="D10" s="1">
        <v>1</v>
      </c>
      <c r="E10" s="32">
        <v>2420</v>
      </c>
      <c r="F10" s="32">
        <f t="shared" si="0"/>
        <v>2420</v>
      </c>
      <c r="G10" s="30"/>
      <c r="H10" s="32"/>
      <c r="I10" s="32">
        <f t="shared" si="1"/>
        <v>51920</v>
      </c>
      <c r="J10" s="32" t="s">
        <v>89</v>
      </c>
      <c r="K10" s="32" t="s">
        <v>89</v>
      </c>
    </row>
    <row r="11" spans="1:11">
      <c r="A11" s="48">
        <v>44762</v>
      </c>
      <c r="B11" s="49"/>
      <c r="C11" s="50"/>
      <c r="D11" s="50"/>
      <c r="E11" s="51"/>
      <c r="F11" s="51">
        <f t="shared" si="0"/>
        <v>0</v>
      </c>
      <c r="G11" s="52" t="s">
        <v>40</v>
      </c>
      <c r="H11" s="51">
        <v>51920</v>
      </c>
      <c r="I11" s="51">
        <f t="shared" si="1"/>
        <v>0</v>
      </c>
      <c r="J11" s="51" t="s">
        <v>89</v>
      </c>
      <c r="K11" s="51" t="s">
        <v>89</v>
      </c>
    </row>
    <row r="12" spans="1:11">
      <c r="A12" s="4">
        <v>44762</v>
      </c>
      <c r="B12" s="2"/>
      <c r="C12" s="1" t="s">
        <v>117</v>
      </c>
      <c r="D12" s="1">
        <v>1</v>
      </c>
      <c r="E12" s="32">
        <v>44660</v>
      </c>
      <c r="F12" s="32">
        <f t="shared" si="0"/>
        <v>44660</v>
      </c>
      <c r="G12" s="30"/>
      <c r="H12" s="32"/>
      <c r="I12" s="32">
        <f t="shared" si="1"/>
        <v>44660</v>
      </c>
      <c r="J12" s="32" t="s">
        <v>89</v>
      </c>
      <c r="K12" s="32" t="s">
        <v>89</v>
      </c>
    </row>
    <row r="13" spans="1:11">
      <c r="A13" s="4">
        <v>44762</v>
      </c>
      <c r="B13" s="2"/>
      <c r="C13" s="1" t="s">
        <v>119</v>
      </c>
      <c r="D13" s="1">
        <v>1</v>
      </c>
      <c r="E13" s="32">
        <v>2970</v>
      </c>
      <c r="F13" s="32">
        <f t="shared" si="0"/>
        <v>2970</v>
      </c>
      <c r="G13" s="30"/>
      <c r="H13" s="32"/>
      <c r="I13" s="32">
        <f t="shared" si="1"/>
        <v>47630</v>
      </c>
      <c r="J13" s="32" t="s">
        <v>89</v>
      </c>
      <c r="K13" s="32" t="s">
        <v>89</v>
      </c>
    </row>
    <row r="14" spans="1:11">
      <c r="A14" s="4">
        <v>44762</v>
      </c>
      <c r="B14" s="2" t="s">
        <v>104</v>
      </c>
      <c r="C14" s="1"/>
      <c r="D14" s="1">
        <v>1</v>
      </c>
      <c r="E14" s="32">
        <v>56100</v>
      </c>
      <c r="F14" s="32">
        <f t="shared" si="0"/>
        <v>56100</v>
      </c>
      <c r="G14" s="30"/>
      <c r="H14" s="32"/>
      <c r="I14" s="32">
        <f t="shared" si="1"/>
        <v>103730</v>
      </c>
      <c r="J14" s="32" t="s">
        <v>89</v>
      </c>
      <c r="K14" s="32" t="s">
        <v>89</v>
      </c>
    </row>
    <row r="15" spans="1:11">
      <c r="A15" s="4">
        <v>44762</v>
      </c>
      <c r="B15" s="2" t="s">
        <v>101</v>
      </c>
      <c r="C15" s="1"/>
      <c r="D15" s="1">
        <v>1</v>
      </c>
      <c r="E15" s="32">
        <v>572</v>
      </c>
      <c r="F15" s="32">
        <f t="shared" si="0"/>
        <v>572</v>
      </c>
      <c r="G15" s="30"/>
      <c r="H15" s="32"/>
      <c r="I15" s="32">
        <f t="shared" si="1"/>
        <v>104302</v>
      </c>
      <c r="J15" s="32" t="s">
        <v>89</v>
      </c>
      <c r="K15" s="32" t="s">
        <v>89</v>
      </c>
    </row>
    <row r="16" spans="1:11">
      <c r="A16" s="48">
        <v>44783</v>
      </c>
      <c r="B16" s="49"/>
      <c r="C16" s="50"/>
      <c r="D16" s="50"/>
      <c r="E16" s="51"/>
      <c r="F16" s="51">
        <f t="shared" si="0"/>
        <v>0</v>
      </c>
      <c r="G16" s="52" t="s">
        <v>90</v>
      </c>
      <c r="H16" s="51">
        <v>104302</v>
      </c>
      <c r="I16" s="51">
        <f t="shared" si="1"/>
        <v>0</v>
      </c>
      <c r="J16" s="51" t="s">
        <v>89</v>
      </c>
      <c r="K16" s="51" t="s">
        <v>89</v>
      </c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42"/>
      <c r="F48" s="42">
        <f>SUBTOTAL(109,テーブル131213141516[仕入金額])</f>
        <v>363792</v>
      </c>
      <c r="G48" s="42"/>
      <c r="H48" s="42">
        <f>SUBTOTAL(109,テーブル131213141516[支払金額])</f>
        <v>363792</v>
      </c>
      <c r="I48" s="42">
        <f>テーブル131213141516[[#Totals],[仕入金額]]-テーブル131213141516[[#Totals],[支払金額]]</f>
        <v>0</v>
      </c>
      <c r="J48" s="42"/>
      <c r="K48" s="43">
        <f>SUBTOTAL(103,テーブル131213141516[裕子])</f>
        <v>15</v>
      </c>
    </row>
  </sheetData>
  <phoneticPr fontId="1"/>
  <dataValidations count="4">
    <dataValidation type="list" allowBlank="1" showInputMessage="1" showErrorMessage="1" sqref="G49:G61" xr:uid="{2CDBA385-D3FA-42E8-A927-EA9CC44E83F0}">
      <formula1>",合銀1,合銀,島銀,振込手数,    "</formula1>
    </dataValidation>
    <dataValidation type="list" allowBlank="1" showInputMessage="1" showErrorMessage="1" sqref="J2:K47" xr:uid="{AE7D75E1-5B2B-4F53-967A-512124D2CB29}">
      <formula1>"  ,済"</formula1>
    </dataValidation>
    <dataValidation type="list" allowBlank="1" showInputMessage="1" showErrorMessage="1" sqref="B2:B47" xr:uid="{7F185423-0716-4B42-920D-CCDB3643A4E0}">
      <formula1>"田原,田中,高木,勝田,森山,市村,金築,その他"</formula1>
    </dataValidation>
    <dataValidation type="list" allowBlank="1" showInputMessage="1" showErrorMessage="1" sqref="G2:G47" xr:uid="{E9072B35-BA9D-4B8B-829A-8C96C14AD54F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&amp;C（有）小村分店</oddHeader>
  </headerFooter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6D717-AA55-4B06-A6A4-F329EBA4EAF5}">
  <sheetPr codeName="Sheet15">
    <tabColor theme="7" tint="0.39997558519241921"/>
  </sheetPr>
  <dimension ref="A1:L48"/>
  <sheetViews>
    <sheetView workbookViewId="0">
      <pane ySplit="1" topLeftCell="A2" activePane="bottomLeft" state="frozen"/>
      <selection pane="bottomLeft" activeCell="J8" sqref="J8:K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3.25" bestFit="1" customWidth="1"/>
    <col min="8" max="8" width="12.625" customWidth="1"/>
    <col min="9" max="9" width="13.25" bestFit="1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2">
      <c r="A2" s="3">
        <v>44671</v>
      </c>
      <c r="B2" s="2"/>
      <c r="C2" s="2" t="s">
        <v>120</v>
      </c>
      <c r="D2" s="2">
        <v>1</v>
      </c>
      <c r="E2" s="30">
        <v>27280</v>
      </c>
      <c r="F2" s="30">
        <f>D2*E2</f>
        <v>27280</v>
      </c>
      <c r="G2" s="30"/>
      <c r="H2" s="30"/>
      <c r="I2" s="30">
        <f>F2-H2</f>
        <v>27280</v>
      </c>
      <c r="J2" s="30" t="s">
        <v>89</v>
      </c>
      <c r="K2" s="31" t="s">
        <v>89</v>
      </c>
    </row>
    <row r="3" spans="1:12">
      <c r="A3" s="48">
        <v>44701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27225</v>
      </c>
      <c r="I3" s="51">
        <f>I2+F3-H3</f>
        <v>55</v>
      </c>
      <c r="J3" s="51" t="s">
        <v>89</v>
      </c>
      <c r="K3" s="53" t="s">
        <v>89</v>
      </c>
    </row>
    <row r="4" spans="1:12">
      <c r="A4" s="48">
        <v>44701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55</v>
      </c>
      <c r="I4" s="51">
        <f t="shared" ref="I4:I47" si="1">I3+F4-H4</f>
        <v>0</v>
      </c>
      <c r="J4" s="51" t="s">
        <v>89</v>
      </c>
      <c r="K4" s="53" t="s">
        <v>89</v>
      </c>
    </row>
    <row r="5" spans="1:12">
      <c r="A5" s="4">
        <v>44701</v>
      </c>
      <c r="B5" s="2"/>
      <c r="C5" s="1" t="s">
        <v>120</v>
      </c>
      <c r="D5" s="1">
        <v>1</v>
      </c>
      <c r="E5" s="32">
        <v>6519</v>
      </c>
      <c r="F5" s="32">
        <f t="shared" si="0"/>
        <v>6519</v>
      </c>
      <c r="G5" s="30"/>
      <c r="H5" s="32"/>
      <c r="I5" s="32">
        <f t="shared" si="1"/>
        <v>6519</v>
      </c>
      <c r="J5" s="32" t="s">
        <v>89</v>
      </c>
      <c r="K5" s="31" t="s">
        <v>89</v>
      </c>
    </row>
    <row r="6" spans="1:12">
      <c r="A6" s="48">
        <v>44732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6464</v>
      </c>
      <c r="I6" s="51">
        <f t="shared" si="1"/>
        <v>55</v>
      </c>
      <c r="J6" s="51" t="s">
        <v>89</v>
      </c>
      <c r="K6" s="53" t="s">
        <v>89</v>
      </c>
    </row>
    <row r="7" spans="1:12">
      <c r="A7" s="48">
        <v>44732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55</v>
      </c>
      <c r="I7" s="51">
        <f t="shared" si="1"/>
        <v>0</v>
      </c>
      <c r="J7" s="51" t="s">
        <v>89</v>
      </c>
      <c r="K7" s="53" t="s">
        <v>89</v>
      </c>
    </row>
    <row r="8" spans="1:12">
      <c r="A8" s="4">
        <v>44762</v>
      </c>
      <c r="B8" s="2"/>
      <c r="C8" s="1" t="s">
        <v>120</v>
      </c>
      <c r="D8" s="1">
        <v>1</v>
      </c>
      <c r="E8" s="32">
        <v>9625</v>
      </c>
      <c r="F8" s="32">
        <f t="shared" si="0"/>
        <v>9625</v>
      </c>
      <c r="G8" s="30"/>
      <c r="H8" s="32"/>
      <c r="I8" s="32">
        <f t="shared" si="1"/>
        <v>9625</v>
      </c>
      <c r="J8" s="32" t="s">
        <v>89</v>
      </c>
      <c r="K8" s="32" t="s">
        <v>89</v>
      </c>
      <c r="L8" s="39"/>
    </row>
    <row r="9" spans="1:12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9625</v>
      </c>
      <c r="J9" s="32"/>
      <c r="K9" s="31"/>
      <c r="L9" s="39"/>
    </row>
    <row r="10" spans="1:12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9625</v>
      </c>
      <c r="J10" s="32"/>
      <c r="K10" s="31"/>
      <c r="L10" s="39"/>
    </row>
    <row r="11" spans="1:12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9625</v>
      </c>
      <c r="J11" s="32"/>
      <c r="K11" s="31"/>
      <c r="L11" s="39"/>
    </row>
    <row r="12" spans="1:12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9625</v>
      </c>
      <c r="J12" s="32"/>
      <c r="K12" s="31"/>
      <c r="L12" s="39"/>
    </row>
    <row r="13" spans="1:12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9625</v>
      </c>
      <c r="J13" s="32"/>
      <c r="K13" s="31"/>
      <c r="L13" s="39"/>
    </row>
    <row r="14" spans="1:12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9625</v>
      </c>
      <c r="J14" s="32"/>
      <c r="K14" s="31"/>
      <c r="L14" s="39"/>
    </row>
    <row r="15" spans="1:12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9625</v>
      </c>
      <c r="J15" s="32"/>
      <c r="K15" s="31"/>
      <c r="L15" s="39"/>
    </row>
    <row r="16" spans="1:12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9625</v>
      </c>
      <c r="J16" s="32"/>
      <c r="K16" s="31"/>
      <c r="L16" s="39"/>
    </row>
    <row r="17" spans="1:12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9625</v>
      </c>
      <c r="J17" s="32"/>
      <c r="K17" s="31"/>
      <c r="L17" s="39"/>
    </row>
    <row r="18" spans="1:12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9625</v>
      </c>
      <c r="J18" s="32"/>
      <c r="K18" s="31"/>
      <c r="L18" s="39"/>
    </row>
    <row r="19" spans="1:12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9625</v>
      </c>
      <c r="J19" s="32"/>
      <c r="K19" s="31"/>
      <c r="L19" s="39"/>
    </row>
    <row r="20" spans="1:12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9625</v>
      </c>
      <c r="J20" s="32"/>
      <c r="K20" s="31"/>
      <c r="L20" s="39"/>
    </row>
    <row r="21" spans="1:12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9625</v>
      </c>
      <c r="J21" s="32"/>
      <c r="K21" s="31"/>
      <c r="L21" s="39"/>
    </row>
    <row r="22" spans="1:12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9625</v>
      </c>
      <c r="J22" s="32"/>
      <c r="K22" s="31"/>
      <c r="L22" s="39"/>
    </row>
    <row r="23" spans="1:12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9625</v>
      </c>
      <c r="J23" s="32"/>
      <c r="K23" s="31"/>
      <c r="L23" s="39"/>
    </row>
    <row r="24" spans="1:12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9625</v>
      </c>
      <c r="J24" s="32"/>
      <c r="K24" s="31"/>
      <c r="L24" s="39"/>
    </row>
    <row r="25" spans="1:12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9625</v>
      </c>
      <c r="J25" s="32"/>
      <c r="K25" s="31"/>
      <c r="L25" s="39"/>
    </row>
    <row r="26" spans="1:12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9625</v>
      </c>
      <c r="J26" s="32"/>
      <c r="K26" s="31"/>
      <c r="L26" s="39"/>
    </row>
    <row r="27" spans="1:12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9625</v>
      </c>
      <c r="J27" s="32"/>
      <c r="K27" s="31"/>
      <c r="L27" s="39"/>
    </row>
    <row r="28" spans="1:12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9625</v>
      </c>
      <c r="J28" s="32"/>
      <c r="K28" s="31"/>
      <c r="L28" s="39"/>
    </row>
    <row r="29" spans="1:12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9625</v>
      </c>
      <c r="J29" s="32"/>
      <c r="K29" s="31"/>
      <c r="L29" s="39"/>
    </row>
    <row r="30" spans="1:12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9625</v>
      </c>
      <c r="J30" s="32"/>
      <c r="K30" s="31"/>
      <c r="L30" s="39"/>
    </row>
    <row r="31" spans="1:12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9625</v>
      </c>
      <c r="J31" s="32"/>
      <c r="K31" s="31"/>
      <c r="L31" s="39"/>
    </row>
    <row r="32" spans="1:12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9625</v>
      </c>
      <c r="J32" s="32"/>
      <c r="K32" s="31"/>
      <c r="L32" s="39"/>
    </row>
    <row r="33" spans="1:12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9625</v>
      </c>
      <c r="J33" s="32"/>
      <c r="K33" s="31"/>
      <c r="L33" s="39"/>
    </row>
    <row r="34" spans="1:12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9625</v>
      </c>
      <c r="J34" s="32"/>
      <c r="K34" s="31"/>
      <c r="L34" s="39"/>
    </row>
    <row r="35" spans="1:12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9625</v>
      </c>
      <c r="J35" s="32"/>
      <c r="K35" s="31"/>
      <c r="L35" s="39"/>
    </row>
    <row r="36" spans="1:12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9625</v>
      </c>
      <c r="J36" s="32"/>
      <c r="K36" s="31"/>
      <c r="L36" s="39"/>
    </row>
    <row r="37" spans="1:12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9625</v>
      </c>
      <c r="J37" s="32"/>
      <c r="K37" s="31"/>
      <c r="L37" s="39"/>
    </row>
    <row r="38" spans="1:12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9625</v>
      </c>
      <c r="J38" s="32"/>
      <c r="K38" s="31"/>
      <c r="L38" s="39"/>
    </row>
    <row r="39" spans="1:12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9625</v>
      </c>
      <c r="J39" s="32"/>
      <c r="K39" s="31"/>
      <c r="L39" s="39"/>
    </row>
    <row r="40" spans="1:12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9625</v>
      </c>
      <c r="J40" s="32"/>
      <c r="K40" s="31"/>
      <c r="L40" s="39"/>
    </row>
    <row r="41" spans="1:12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9625</v>
      </c>
      <c r="J41" s="32"/>
      <c r="K41" s="31"/>
      <c r="L41" s="39"/>
    </row>
    <row r="42" spans="1:12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9625</v>
      </c>
      <c r="J42" s="32"/>
      <c r="K42" s="31"/>
      <c r="L42" s="39"/>
    </row>
    <row r="43" spans="1:12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9625</v>
      </c>
      <c r="J43" s="32"/>
      <c r="K43" s="31"/>
      <c r="L43" s="39"/>
    </row>
    <row r="44" spans="1:12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9625</v>
      </c>
      <c r="J44" s="32"/>
      <c r="K44" s="31"/>
      <c r="L44" s="39"/>
    </row>
    <row r="45" spans="1:12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9625</v>
      </c>
      <c r="J45" s="32"/>
      <c r="K45" s="31"/>
      <c r="L45" s="39"/>
    </row>
    <row r="46" spans="1:12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9625</v>
      </c>
      <c r="J46" s="32"/>
      <c r="K46" s="31"/>
      <c r="L46" s="39"/>
    </row>
    <row r="47" spans="1:12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9625</v>
      </c>
      <c r="J47" s="37"/>
      <c r="K47" s="38"/>
      <c r="L47" s="39"/>
    </row>
    <row r="48" spans="1:12">
      <c r="A48" s="16" t="s">
        <v>86</v>
      </c>
      <c r="B48" s="9"/>
      <c r="C48" s="9"/>
      <c r="D48" s="9"/>
      <c r="E48" s="42"/>
      <c r="F48" s="42">
        <f>SUBTOTAL(109,テーブル13121314151617[仕入金額])</f>
        <v>43424</v>
      </c>
      <c r="G48" s="42"/>
      <c r="H48" s="42">
        <f>SUBTOTAL(109,テーブル13121314151617[支払金額])</f>
        <v>33799</v>
      </c>
      <c r="I48" s="42">
        <f>テーブル13121314151617[[#Totals],[仕入金額]]-テーブル13121314151617[[#Totals],[支払金額]]</f>
        <v>9625</v>
      </c>
      <c r="J48" s="42"/>
      <c r="K48" s="43">
        <f>SUBTOTAL(103,テーブル13121314151617[裕子])</f>
        <v>7</v>
      </c>
      <c r="L48" s="39"/>
    </row>
  </sheetData>
  <phoneticPr fontId="1"/>
  <dataValidations count="4">
    <dataValidation type="list" allowBlank="1" showInputMessage="1" showErrorMessage="1" sqref="B2:B47" xr:uid="{68B3F0FB-0A7D-4971-84CD-BE4543FC61B9}">
      <formula1>"田原,田中,高木,勝田,森山,市村,金築,その他"</formula1>
    </dataValidation>
    <dataValidation type="list" allowBlank="1" showInputMessage="1" showErrorMessage="1" sqref="J2:K47" xr:uid="{917F2AF6-E210-43A2-9288-226330FA78E7}">
      <formula1>"  ,済"</formula1>
    </dataValidation>
    <dataValidation type="list" allowBlank="1" showInputMessage="1" showErrorMessage="1" sqref="G49:G61" xr:uid="{CCCD3E02-E528-45D0-9875-E7D7DB72BD24}">
      <formula1>",合銀1,合銀,島銀,振込手数,    "</formula1>
    </dataValidation>
    <dataValidation type="list" allowBlank="1" showInputMessage="1" showErrorMessage="1" sqref="G2:G47" xr:uid="{4C4ADF62-84E0-4D5E-AD33-51C4B7640ECD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&amp;C海潮産業</oddHeader>
  </headerFooter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92D1-ED78-49E6-B493-BA5A49A5DC2E}">
  <sheetPr codeName="Sheet16">
    <tabColor theme="7" tint="0.39997558519241921"/>
  </sheetPr>
  <dimension ref="A1:L48"/>
  <sheetViews>
    <sheetView workbookViewId="0">
      <pane ySplit="1" topLeftCell="A2" activePane="bottomLeft" state="frozen"/>
      <selection pane="bottomLeft" activeCell="I13" sqref="I13"/>
      <selection activeCell="M43" sqref="M43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3.25" bestFit="1" customWidth="1"/>
    <col min="8" max="8" width="12.625" customWidth="1"/>
    <col min="9" max="9" width="13.25" bestFit="1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2">
      <c r="A2" s="3"/>
      <c r="B2" s="2"/>
      <c r="C2" s="2" t="s">
        <v>121</v>
      </c>
      <c r="D2" s="2">
        <v>1</v>
      </c>
      <c r="E2" s="30">
        <v>11000</v>
      </c>
      <c r="F2" s="30">
        <f>D2*E2</f>
        <v>11000</v>
      </c>
      <c r="G2" s="30"/>
      <c r="H2" s="30"/>
      <c r="I2" s="30">
        <f>F2-H2</f>
        <v>11000</v>
      </c>
      <c r="J2" s="30"/>
      <c r="K2" s="31"/>
    </row>
    <row r="3" spans="1:12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10945</v>
      </c>
      <c r="I3" s="51">
        <f>I2+F3-H3</f>
        <v>55</v>
      </c>
      <c r="J3" s="51" t="s">
        <v>89</v>
      </c>
      <c r="K3" s="53"/>
    </row>
    <row r="4" spans="1:12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55</v>
      </c>
      <c r="I4" s="51">
        <f t="shared" ref="I4:I47" si="1">I3+F4-H4</f>
        <v>0</v>
      </c>
      <c r="J4" s="51" t="s">
        <v>89</v>
      </c>
      <c r="K4" s="53"/>
    </row>
    <row r="5" spans="1:12">
      <c r="A5" s="4"/>
      <c r="B5" s="2"/>
      <c r="C5" s="1"/>
      <c r="D5" s="1"/>
      <c r="E5" s="32"/>
      <c r="F5" s="32">
        <f t="shared" si="0"/>
        <v>0</v>
      </c>
      <c r="G5" s="30"/>
      <c r="H5" s="32"/>
      <c r="I5" s="32">
        <f t="shared" si="1"/>
        <v>0</v>
      </c>
      <c r="J5" s="32"/>
      <c r="K5" s="31"/>
    </row>
    <row r="6" spans="1:12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</row>
    <row r="7" spans="1:12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</row>
    <row r="8" spans="1:12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2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  <c r="L9" s="39"/>
    </row>
    <row r="10" spans="1:12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  <c r="L10" s="39"/>
    </row>
    <row r="11" spans="1:12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  <c r="L11" s="39"/>
    </row>
    <row r="12" spans="1:12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  <c r="L12" s="39"/>
    </row>
    <row r="13" spans="1:12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  <c r="L13" s="39"/>
    </row>
    <row r="14" spans="1:12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  <c r="L14" s="39"/>
    </row>
    <row r="15" spans="1:12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  <c r="L15" s="39"/>
    </row>
    <row r="16" spans="1:12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  <c r="L16" s="39"/>
    </row>
    <row r="17" spans="1:12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  <c r="L17" s="39"/>
    </row>
    <row r="18" spans="1:12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  <c r="L18" s="39"/>
    </row>
    <row r="19" spans="1:12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  <c r="L19" s="39"/>
    </row>
    <row r="20" spans="1:12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  <c r="L20" s="39"/>
    </row>
    <row r="21" spans="1:12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  <c r="L21" s="39"/>
    </row>
    <row r="22" spans="1:12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  <c r="L22" s="39"/>
    </row>
    <row r="23" spans="1:12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  <c r="L23" s="39"/>
    </row>
    <row r="24" spans="1:12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  <c r="L24" s="39"/>
    </row>
    <row r="25" spans="1:12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  <c r="L25" s="39"/>
    </row>
    <row r="26" spans="1:12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  <c r="L26" s="39"/>
    </row>
    <row r="27" spans="1:12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  <c r="L27" s="39"/>
    </row>
    <row r="28" spans="1:12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  <c r="L28" s="39"/>
    </row>
    <row r="29" spans="1:12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  <c r="L29" s="39"/>
    </row>
    <row r="30" spans="1:12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  <c r="L30" s="39"/>
    </row>
    <row r="31" spans="1:12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  <c r="L31" s="39"/>
    </row>
    <row r="32" spans="1:12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  <c r="L32" s="39"/>
    </row>
    <row r="33" spans="1:12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  <c r="L33" s="39"/>
    </row>
    <row r="34" spans="1:12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  <c r="L34" s="39"/>
    </row>
    <row r="35" spans="1:12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  <c r="L35" s="39"/>
    </row>
    <row r="36" spans="1:12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  <c r="L36" s="39"/>
    </row>
    <row r="37" spans="1:12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  <c r="L37" s="39"/>
    </row>
    <row r="38" spans="1:12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  <c r="L38" s="39"/>
    </row>
    <row r="39" spans="1:12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  <c r="L39" s="39"/>
    </row>
    <row r="40" spans="1:12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  <c r="L40" s="39"/>
    </row>
    <row r="41" spans="1:12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  <c r="L41" s="39"/>
    </row>
    <row r="42" spans="1:12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  <c r="L42" s="39"/>
    </row>
    <row r="43" spans="1:12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  <c r="L43" s="39"/>
    </row>
    <row r="44" spans="1:12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  <c r="L44" s="39"/>
    </row>
    <row r="45" spans="1:12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  <c r="L45" s="39"/>
    </row>
    <row r="46" spans="1:12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  <c r="L46" s="39"/>
    </row>
    <row r="47" spans="1:12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  <c r="L47" s="39"/>
    </row>
    <row r="48" spans="1:12">
      <c r="A48" s="16" t="s">
        <v>86</v>
      </c>
      <c r="B48" s="9"/>
      <c r="C48" s="9"/>
      <c r="D48" s="9"/>
      <c r="E48" s="35"/>
      <c r="F48" s="35">
        <f>SUBTOTAL(109,テーブル1312131415161718[仕入金額])</f>
        <v>11000</v>
      </c>
      <c r="G48" s="35"/>
      <c r="H48" s="35">
        <f>SUBTOTAL(109,テーブル1312131415161718[支払金額])</f>
        <v>11000</v>
      </c>
      <c r="I48" s="35">
        <f>テーブル1312131415161718[[#Totals],[仕入金額]]-テーブル1312131415161718[[#Totals],[支払金額]]</f>
        <v>0</v>
      </c>
      <c r="J48" s="35"/>
      <c r="K48" s="36">
        <f>SUBTOTAL(103,テーブル1312131415161718[裕子])</f>
        <v>0</v>
      </c>
      <c r="L48" s="39"/>
    </row>
  </sheetData>
  <phoneticPr fontId="1"/>
  <dataValidations count="4">
    <dataValidation type="list" allowBlank="1" showInputMessage="1" showErrorMessage="1" sqref="G49:G61" xr:uid="{3F119BEF-8D67-49B6-B75C-4CDB881D897D}">
      <formula1>",合銀1,合銀,島銀,振込手数,    "</formula1>
    </dataValidation>
    <dataValidation type="list" allowBlank="1" showInputMessage="1" showErrorMessage="1" sqref="J2:K47" xr:uid="{C2B80487-1EE5-4341-A53B-CC05E69AAFDB}">
      <formula1>"  ,済"</formula1>
    </dataValidation>
    <dataValidation type="list" allowBlank="1" showInputMessage="1" showErrorMessage="1" sqref="B2:B47" xr:uid="{E24B5134-15C0-4378-A09D-F2554D4EA86B}">
      <formula1>"田原,田中,高木,勝田,森山,市村,金築,その他"</formula1>
    </dataValidation>
    <dataValidation type="list" allowBlank="1" showInputMessage="1" showErrorMessage="1" sqref="G2:G47" xr:uid="{0AEB8AF9-91FC-44C6-998A-FE43C7300C10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&amp;C兼折左工所</oddHeader>
  </headerFooter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12734-34D6-4A90-AA68-0559EB46482B}">
  <sheetPr codeName="Sheet17">
    <tabColor theme="7" tint="0.39997558519241921"/>
  </sheetPr>
  <dimension ref="A1:K48"/>
  <sheetViews>
    <sheetView workbookViewId="0">
      <pane ySplit="1" topLeftCell="A35" activePane="bottomLeft" state="frozen"/>
      <selection pane="bottomLeft" activeCell="M43" sqref="M43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44762</v>
      </c>
      <c r="B2" s="2" t="s">
        <v>101</v>
      </c>
      <c r="C2" s="2"/>
      <c r="D2" s="2">
        <v>1</v>
      </c>
      <c r="E2" s="30">
        <v>159500</v>
      </c>
      <c r="F2" s="30">
        <f>D2*E2</f>
        <v>159500</v>
      </c>
      <c r="G2" s="30"/>
      <c r="H2" s="30"/>
      <c r="I2" s="30">
        <f>F2-H2</f>
        <v>159500</v>
      </c>
      <c r="J2" s="2" t="s">
        <v>89</v>
      </c>
      <c r="K2" s="2" t="s">
        <v>89</v>
      </c>
    </row>
    <row r="3" spans="1:11">
      <c r="A3" s="4"/>
      <c r="B3" s="2"/>
      <c r="C3" s="1"/>
      <c r="D3" s="1"/>
      <c r="E3" s="32"/>
      <c r="F3" s="32">
        <f t="shared" ref="F3:F47" si="0">D3*E3</f>
        <v>0</v>
      </c>
      <c r="G3" s="30"/>
      <c r="H3" s="32"/>
      <c r="I3" s="32">
        <f>I2+F3-H3</f>
        <v>159500</v>
      </c>
      <c r="J3" s="1"/>
      <c r="K3" s="5"/>
    </row>
    <row r="4" spans="1:11">
      <c r="A4" s="4"/>
      <c r="B4" s="2"/>
      <c r="C4" s="1"/>
      <c r="D4" s="1"/>
      <c r="E4" s="32"/>
      <c r="F4" s="32">
        <f t="shared" si="0"/>
        <v>0</v>
      </c>
      <c r="G4" s="30"/>
      <c r="H4" s="32"/>
      <c r="I4" s="32">
        <f t="shared" ref="I4:I47" si="1">I3+F4-H4</f>
        <v>159500</v>
      </c>
      <c r="J4" s="1"/>
      <c r="K4" s="5"/>
    </row>
    <row r="5" spans="1:11">
      <c r="A5" s="4"/>
      <c r="B5" s="2"/>
      <c r="C5" s="1"/>
      <c r="D5" s="1"/>
      <c r="E5" s="32"/>
      <c r="F5" s="32">
        <f t="shared" si="0"/>
        <v>0</v>
      </c>
      <c r="G5" s="30"/>
      <c r="H5" s="32"/>
      <c r="I5" s="32">
        <f t="shared" si="1"/>
        <v>159500</v>
      </c>
      <c r="J5" s="1"/>
      <c r="K5" s="5"/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159500</v>
      </c>
      <c r="J6" s="1"/>
      <c r="K6" s="5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159500</v>
      </c>
      <c r="J7" s="1"/>
      <c r="K7" s="5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159500</v>
      </c>
      <c r="J8" s="1"/>
      <c r="K8" s="5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159500</v>
      </c>
      <c r="J9" s="1"/>
      <c r="K9" s="5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159500</v>
      </c>
      <c r="J10" s="1"/>
      <c r="K10" s="5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159500</v>
      </c>
      <c r="J11" s="1"/>
      <c r="K11" s="5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159500</v>
      </c>
      <c r="J12" s="1"/>
      <c r="K12" s="5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159500</v>
      </c>
      <c r="J13" s="1"/>
      <c r="K13" s="5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159500</v>
      </c>
      <c r="J14" s="1"/>
      <c r="K14" s="5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159500</v>
      </c>
      <c r="J15" s="1"/>
      <c r="K15" s="5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159500</v>
      </c>
      <c r="J16" s="1"/>
      <c r="K16" s="5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159500</v>
      </c>
      <c r="J17" s="1"/>
      <c r="K17" s="5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159500</v>
      </c>
      <c r="J18" s="1"/>
      <c r="K18" s="5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159500</v>
      </c>
      <c r="J19" s="1"/>
      <c r="K19" s="5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159500</v>
      </c>
      <c r="J20" s="1"/>
      <c r="K20" s="5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159500</v>
      </c>
      <c r="J21" s="1"/>
      <c r="K21" s="5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159500</v>
      </c>
      <c r="J22" s="1"/>
      <c r="K22" s="5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159500</v>
      </c>
      <c r="J23" s="1"/>
      <c r="K23" s="5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159500</v>
      </c>
      <c r="J24" s="1"/>
      <c r="K24" s="5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159500</v>
      </c>
      <c r="J25" s="1"/>
      <c r="K25" s="5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159500</v>
      </c>
      <c r="J26" s="1"/>
      <c r="K26" s="5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159500</v>
      </c>
      <c r="J27" s="1"/>
      <c r="K27" s="5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159500</v>
      </c>
      <c r="J28" s="1"/>
      <c r="K28" s="5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159500</v>
      </c>
      <c r="J29" s="1"/>
      <c r="K29" s="5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159500</v>
      </c>
      <c r="J30" s="1"/>
      <c r="K30" s="5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159500</v>
      </c>
      <c r="J31" s="1"/>
      <c r="K31" s="5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159500</v>
      </c>
      <c r="J32" s="1"/>
      <c r="K32" s="5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159500</v>
      </c>
      <c r="J33" s="1"/>
      <c r="K33" s="5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159500</v>
      </c>
      <c r="J34" s="1"/>
      <c r="K34" s="5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159500</v>
      </c>
      <c r="J35" s="1"/>
      <c r="K35" s="5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159500</v>
      </c>
      <c r="J36" s="1"/>
      <c r="K36" s="5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159500</v>
      </c>
      <c r="J37" s="1"/>
      <c r="K37" s="5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159500</v>
      </c>
      <c r="J38" s="1"/>
      <c r="K38" s="5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159500</v>
      </c>
      <c r="J39" s="1"/>
      <c r="K39" s="5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159500</v>
      </c>
      <c r="J40" s="1"/>
      <c r="K40" s="5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159500</v>
      </c>
      <c r="J41" s="1"/>
      <c r="K41" s="5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159500</v>
      </c>
      <c r="J42" s="1"/>
      <c r="K42" s="5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159500</v>
      </c>
      <c r="J43" s="1"/>
      <c r="K43" s="5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159500</v>
      </c>
      <c r="J44" s="1"/>
      <c r="K44" s="5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159500</v>
      </c>
      <c r="J45" s="1"/>
      <c r="K45" s="5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159500</v>
      </c>
      <c r="J46" s="1"/>
      <c r="K46" s="5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159500</v>
      </c>
      <c r="J47" s="10"/>
      <c r="K47" s="11"/>
    </row>
    <row r="48" spans="1:11">
      <c r="A48" s="16" t="s">
        <v>86</v>
      </c>
      <c r="B48" s="9"/>
      <c r="C48" s="9"/>
      <c r="D48" s="9"/>
      <c r="E48" s="35"/>
      <c r="F48" s="35">
        <f>SUBTOTAL(109,テーブル131213141516171819[仕入金額])</f>
        <v>159500</v>
      </c>
      <c r="G48" s="35"/>
      <c r="H48" s="35">
        <f>SUBTOTAL(109,テーブル131213141516171819[支払金額])</f>
        <v>0</v>
      </c>
      <c r="I48" s="35">
        <f>テーブル131213141516171819[[#Totals],[仕入金額]]-テーブル131213141516171819[[#Totals],[支払金額]]</f>
        <v>159500</v>
      </c>
      <c r="J48" s="9"/>
      <c r="K48" s="17">
        <f>SUBTOTAL(103,テーブル131213141516171819[裕子])</f>
        <v>1</v>
      </c>
    </row>
  </sheetData>
  <phoneticPr fontId="1"/>
  <dataValidations count="4">
    <dataValidation type="list" allowBlank="1" showInputMessage="1" showErrorMessage="1" sqref="B2:B47" xr:uid="{893849C0-9E09-448E-A16B-9121AB1151D9}">
      <formula1>"田原,田中,高木,勝田,森山,市村,金築,その他"</formula1>
    </dataValidation>
    <dataValidation type="list" allowBlank="1" showInputMessage="1" showErrorMessage="1" sqref="J2:K47" xr:uid="{FD1C7F24-8620-472C-B72D-BBAD6A9EB638}">
      <formula1>"  ,済"</formula1>
    </dataValidation>
    <dataValidation type="list" allowBlank="1" showInputMessage="1" showErrorMessage="1" sqref="G49:G61" xr:uid="{3218AD21-DE96-4588-AAFB-A2B8C5E3FEE9}">
      <formula1>",合銀1,合銀,島銀,振込手数,    "</formula1>
    </dataValidation>
    <dataValidation type="list" allowBlank="1" showInputMessage="1" showErrorMessage="1" sqref="G2:G47" xr:uid="{6F2F8EA0-082C-40A2-8A91-08FCEB1083D1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&amp;C（有）釜屋塗装</oddHeader>
  </headerFooter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04BE9-0A2A-4BA4-95B3-97646B960BA3}">
  <sheetPr codeName="Sheet18">
    <tabColor theme="7" tint="0.39997558519241921"/>
  </sheetPr>
  <dimension ref="A1:K48"/>
  <sheetViews>
    <sheetView workbookViewId="0">
      <pane ySplit="1" topLeftCell="A2" activePane="bottomLeft" state="frozen"/>
      <selection pane="bottomLeft" activeCell="J5" sqref="J5:K6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3.25" bestFit="1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44671</v>
      </c>
      <c r="B2" s="2" t="s">
        <v>104</v>
      </c>
      <c r="C2" s="2"/>
      <c r="D2" s="2">
        <v>1</v>
      </c>
      <c r="E2" s="30">
        <v>1416954</v>
      </c>
      <c r="F2" s="30">
        <f>D2*E2</f>
        <v>1416954</v>
      </c>
      <c r="G2" s="30"/>
      <c r="H2" s="30"/>
      <c r="I2" s="30">
        <f>F2-H2</f>
        <v>1416954</v>
      </c>
      <c r="J2" s="30" t="s">
        <v>89</v>
      </c>
      <c r="K2" s="31" t="s">
        <v>89</v>
      </c>
    </row>
    <row r="3" spans="1:11">
      <c r="A3" s="48">
        <v>44682</v>
      </c>
      <c r="B3" s="49"/>
      <c r="C3" s="50"/>
      <c r="D3" s="50"/>
      <c r="E3" s="51"/>
      <c r="F3" s="51">
        <f t="shared" ref="F3:F47" si="0">D3*E3</f>
        <v>0</v>
      </c>
      <c r="G3" s="52" t="s">
        <v>122</v>
      </c>
      <c r="H3" s="51">
        <v>1416954</v>
      </c>
      <c r="I3" s="51">
        <f>I2+F3-H3</f>
        <v>0</v>
      </c>
      <c r="J3" s="51" t="s">
        <v>89</v>
      </c>
      <c r="K3" s="53" t="s">
        <v>89</v>
      </c>
    </row>
    <row r="4" spans="1:11">
      <c r="A4" s="48">
        <v>44715</v>
      </c>
      <c r="B4" s="49"/>
      <c r="C4" s="50"/>
      <c r="D4" s="50"/>
      <c r="E4" s="51"/>
      <c r="F4" s="51">
        <f t="shared" si="0"/>
        <v>0</v>
      </c>
      <c r="G4" s="52" t="s">
        <v>122</v>
      </c>
      <c r="H4" s="51">
        <v>220000</v>
      </c>
      <c r="I4" s="51">
        <f t="shared" ref="I4:I47" si="1">I3+F4-H4</f>
        <v>-220000</v>
      </c>
      <c r="J4" s="51" t="s">
        <v>89</v>
      </c>
      <c r="K4" s="53" t="s">
        <v>89</v>
      </c>
    </row>
    <row r="5" spans="1:11">
      <c r="A5" s="4">
        <v>44762</v>
      </c>
      <c r="B5" s="2" t="s">
        <v>104</v>
      </c>
      <c r="C5" s="1"/>
      <c r="D5" s="1">
        <v>1</v>
      </c>
      <c r="E5" s="32">
        <v>605000</v>
      </c>
      <c r="F5" s="32">
        <f t="shared" si="0"/>
        <v>605000</v>
      </c>
      <c r="G5" s="30"/>
      <c r="H5" s="32"/>
      <c r="I5" s="32">
        <f t="shared" si="1"/>
        <v>385000</v>
      </c>
      <c r="J5" s="32" t="s">
        <v>89</v>
      </c>
      <c r="K5" s="32" t="s">
        <v>89</v>
      </c>
    </row>
    <row r="6" spans="1:11">
      <c r="A6" s="48">
        <v>44778</v>
      </c>
      <c r="B6" s="49"/>
      <c r="C6" s="50"/>
      <c r="D6" s="50"/>
      <c r="E6" s="51"/>
      <c r="F6" s="51">
        <f t="shared" si="0"/>
        <v>0</v>
      </c>
      <c r="G6" s="52" t="s">
        <v>122</v>
      </c>
      <c r="H6" s="51">
        <v>385000</v>
      </c>
      <c r="I6" s="51">
        <f t="shared" si="1"/>
        <v>0</v>
      </c>
      <c r="J6" s="51" t="s">
        <v>89</v>
      </c>
      <c r="K6" s="51" t="s">
        <v>89</v>
      </c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42"/>
      <c r="F48" s="42">
        <f>SUBTOTAL(109,テーブル13121314151617181920[仕入金額])</f>
        <v>2021954</v>
      </c>
      <c r="G48" s="42"/>
      <c r="H48" s="42">
        <f>SUBTOTAL(109,テーブル13121314151617181920[支払金額])</f>
        <v>2021954</v>
      </c>
      <c r="I48" s="42">
        <f>テーブル13121314151617181920[[#Totals],[仕入金額]]-テーブル13121314151617181920[[#Totals],[支払金額]]</f>
        <v>0</v>
      </c>
      <c r="J48" s="42"/>
      <c r="K48" s="43">
        <f>SUBTOTAL(103,テーブル13121314151617181920[裕子])</f>
        <v>5</v>
      </c>
    </row>
  </sheetData>
  <phoneticPr fontId="1"/>
  <dataValidations count="4">
    <dataValidation type="list" allowBlank="1" showInputMessage="1" showErrorMessage="1" sqref="G49:G61" xr:uid="{C48D0299-91BF-4E87-AD66-F5A0DFCA5E5E}">
      <formula1>",合銀1,合銀,島銀,振込手数,    "</formula1>
    </dataValidation>
    <dataValidation type="list" allowBlank="1" showInputMessage="1" showErrorMessage="1" sqref="J2:K47" xr:uid="{D3C9944D-97C5-48F1-B22A-558AABE70D4A}">
      <formula1>"  ,済"</formula1>
    </dataValidation>
    <dataValidation type="list" allowBlank="1" showInputMessage="1" showErrorMessage="1" sqref="B2:B47" xr:uid="{610B6014-8CE0-43C4-93BF-7679F241F05C}">
      <formula1>"田原,田中,高木,勝田,森山,市村,金築,その他"</formula1>
    </dataValidation>
    <dataValidation type="list" allowBlank="1" showInputMessage="1" showErrorMessage="1" sqref="G2:G47" xr:uid="{4D810EB3-8101-4170-8208-512AA9E40353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75A32-D380-44C4-9D41-A9F5E1DD1472}">
  <sheetPr codeName="Sheet19">
    <tabColor theme="7" tint="0.39997558519241921"/>
  </sheetPr>
  <dimension ref="A1:L48"/>
  <sheetViews>
    <sheetView workbookViewId="0">
      <pane ySplit="1" topLeftCell="A2" activePane="bottomLeft" state="frozen"/>
      <selection pane="bottomLeft" activeCell="J8" sqref="J8:K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2">
      <c r="A2" s="3"/>
      <c r="B2" s="2"/>
      <c r="C2" s="2" t="s">
        <v>88</v>
      </c>
      <c r="D2" s="2">
        <v>1</v>
      </c>
      <c r="E2" s="30">
        <v>115500</v>
      </c>
      <c r="F2" s="30">
        <f>D2*E2</f>
        <v>115500</v>
      </c>
      <c r="G2" s="30"/>
      <c r="H2" s="30"/>
      <c r="I2" s="30">
        <f>F2-H2</f>
        <v>115500</v>
      </c>
      <c r="J2" s="30"/>
      <c r="K2" s="31" t="s">
        <v>89</v>
      </c>
    </row>
    <row r="3" spans="1:12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115390</v>
      </c>
      <c r="I3" s="51">
        <f>I2+F3-H3</f>
        <v>110</v>
      </c>
      <c r="J3" s="51" t="s">
        <v>89</v>
      </c>
      <c r="K3" s="53" t="s">
        <v>89</v>
      </c>
    </row>
    <row r="4" spans="1:12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3" t="s">
        <v>89</v>
      </c>
    </row>
    <row r="5" spans="1:12">
      <c r="A5" s="4">
        <v>44701</v>
      </c>
      <c r="B5" s="2" t="s">
        <v>101</v>
      </c>
      <c r="C5" s="1"/>
      <c r="D5" s="1">
        <v>1</v>
      </c>
      <c r="E5" s="32">
        <v>250800</v>
      </c>
      <c r="F5" s="32">
        <f t="shared" si="0"/>
        <v>250800</v>
      </c>
      <c r="G5" s="30"/>
      <c r="H5" s="32"/>
      <c r="I5" s="32">
        <f t="shared" si="1"/>
        <v>250800</v>
      </c>
      <c r="J5" s="32" t="s">
        <v>89</v>
      </c>
      <c r="K5" s="31" t="s">
        <v>89</v>
      </c>
    </row>
    <row r="6" spans="1:12">
      <c r="A6" s="48">
        <v>44732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250690</v>
      </c>
      <c r="I6" s="51">
        <f t="shared" si="1"/>
        <v>110</v>
      </c>
      <c r="J6" s="51" t="s">
        <v>89</v>
      </c>
      <c r="K6" s="53" t="s">
        <v>89</v>
      </c>
    </row>
    <row r="7" spans="1:12">
      <c r="A7" s="48">
        <v>44732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110</v>
      </c>
      <c r="I7" s="51">
        <f t="shared" si="1"/>
        <v>0</v>
      </c>
      <c r="J7" s="51" t="s">
        <v>89</v>
      </c>
      <c r="K7" s="53" t="s">
        <v>89</v>
      </c>
    </row>
    <row r="8" spans="1:12">
      <c r="A8" s="4">
        <v>44762</v>
      </c>
      <c r="B8" s="2" t="s">
        <v>104</v>
      </c>
      <c r="C8" s="1"/>
      <c r="D8" s="1">
        <v>1</v>
      </c>
      <c r="E8" s="32">
        <v>250800</v>
      </c>
      <c r="F8" s="32">
        <f t="shared" si="0"/>
        <v>250800</v>
      </c>
      <c r="G8" s="30"/>
      <c r="H8" s="32"/>
      <c r="I8" s="32">
        <f t="shared" si="1"/>
        <v>250800</v>
      </c>
      <c r="J8" s="32" t="s">
        <v>89</v>
      </c>
      <c r="K8" s="32" t="s">
        <v>89</v>
      </c>
    </row>
    <row r="9" spans="1:12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250800</v>
      </c>
      <c r="J9" s="32"/>
      <c r="K9" s="31"/>
      <c r="L9" s="39"/>
    </row>
    <row r="10" spans="1:12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250800</v>
      </c>
      <c r="J10" s="32"/>
      <c r="K10" s="31"/>
      <c r="L10" s="39"/>
    </row>
    <row r="11" spans="1:12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250800</v>
      </c>
      <c r="J11" s="32"/>
      <c r="K11" s="31"/>
      <c r="L11" s="39"/>
    </row>
    <row r="12" spans="1:12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250800</v>
      </c>
      <c r="J12" s="32"/>
      <c r="K12" s="31"/>
      <c r="L12" s="39"/>
    </row>
    <row r="13" spans="1:12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250800</v>
      </c>
      <c r="J13" s="32"/>
      <c r="K13" s="31"/>
      <c r="L13" s="39"/>
    </row>
    <row r="14" spans="1:12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250800</v>
      </c>
      <c r="J14" s="32"/>
      <c r="K14" s="31"/>
      <c r="L14" s="39"/>
    </row>
    <row r="15" spans="1:12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250800</v>
      </c>
      <c r="J15" s="32"/>
      <c r="K15" s="31"/>
      <c r="L15" s="39"/>
    </row>
    <row r="16" spans="1:12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250800</v>
      </c>
      <c r="J16" s="32"/>
      <c r="K16" s="31"/>
      <c r="L16" s="39"/>
    </row>
    <row r="17" spans="1:12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250800</v>
      </c>
      <c r="J17" s="32"/>
      <c r="K17" s="31"/>
      <c r="L17" s="39"/>
    </row>
    <row r="18" spans="1:12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250800</v>
      </c>
      <c r="J18" s="32"/>
      <c r="K18" s="31"/>
      <c r="L18" s="39"/>
    </row>
    <row r="19" spans="1:12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250800</v>
      </c>
      <c r="J19" s="32"/>
      <c r="K19" s="31"/>
      <c r="L19" s="39"/>
    </row>
    <row r="20" spans="1:12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250800</v>
      </c>
      <c r="J20" s="32"/>
      <c r="K20" s="31"/>
      <c r="L20" s="39"/>
    </row>
    <row r="21" spans="1:12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250800</v>
      </c>
      <c r="J21" s="32"/>
      <c r="K21" s="31"/>
      <c r="L21" s="39"/>
    </row>
    <row r="22" spans="1:12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250800</v>
      </c>
      <c r="J22" s="32"/>
      <c r="K22" s="31"/>
      <c r="L22" s="39"/>
    </row>
    <row r="23" spans="1:12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250800</v>
      </c>
      <c r="J23" s="32"/>
      <c r="K23" s="31"/>
      <c r="L23" s="39"/>
    </row>
    <row r="24" spans="1:12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250800</v>
      </c>
      <c r="J24" s="32"/>
      <c r="K24" s="31"/>
      <c r="L24" s="39"/>
    </row>
    <row r="25" spans="1:12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250800</v>
      </c>
      <c r="J25" s="32"/>
      <c r="K25" s="31"/>
      <c r="L25" s="39"/>
    </row>
    <row r="26" spans="1:12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250800</v>
      </c>
      <c r="J26" s="32"/>
      <c r="K26" s="31"/>
      <c r="L26" s="39"/>
    </row>
    <row r="27" spans="1:12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250800</v>
      </c>
      <c r="J27" s="32"/>
      <c r="K27" s="31"/>
      <c r="L27" s="39"/>
    </row>
    <row r="28" spans="1:12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250800</v>
      </c>
      <c r="J28" s="32"/>
      <c r="K28" s="31"/>
      <c r="L28" s="39"/>
    </row>
    <row r="29" spans="1:12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250800</v>
      </c>
      <c r="J29" s="32"/>
      <c r="K29" s="31"/>
      <c r="L29" s="39"/>
    </row>
    <row r="30" spans="1:12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250800</v>
      </c>
      <c r="J30" s="32"/>
      <c r="K30" s="31"/>
      <c r="L30" s="39"/>
    </row>
    <row r="31" spans="1:12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250800</v>
      </c>
      <c r="J31" s="32"/>
      <c r="K31" s="31"/>
      <c r="L31" s="39"/>
    </row>
    <row r="32" spans="1:12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250800</v>
      </c>
      <c r="J32" s="32"/>
      <c r="K32" s="31"/>
      <c r="L32" s="39"/>
    </row>
    <row r="33" spans="1:12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250800</v>
      </c>
      <c r="J33" s="32"/>
      <c r="K33" s="31"/>
      <c r="L33" s="39"/>
    </row>
    <row r="34" spans="1:12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250800</v>
      </c>
      <c r="J34" s="32"/>
      <c r="K34" s="31"/>
      <c r="L34" s="39"/>
    </row>
    <row r="35" spans="1:12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250800</v>
      </c>
      <c r="J35" s="32"/>
      <c r="K35" s="31"/>
      <c r="L35" s="39"/>
    </row>
    <row r="36" spans="1:12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250800</v>
      </c>
      <c r="J36" s="32"/>
      <c r="K36" s="31"/>
      <c r="L36" s="39"/>
    </row>
    <row r="37" spans="1:12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250800</v>
      </c>
      <c r="J37" s="32"/>
      <c r="K37" s="31"/>
      <c r="L37" s="39"/>
    </row>
    <row r="38" spans="1:12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250800</v>
      </c>
      <c r="J38" s="32"/>
      <c r="K38" s="31"/>
      <c r="L38" s="39"/>
    </row>
    <row r="39" spans="1:12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250800</v>
      </c>
      <c r="J39" s="32"/>
      <c r="K39" s="31"/>
      <c r="L39" s="39"/>
    </row>
    <row r="40" spans="1:12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250800</v>
      </c>
      <c r="J40" s="32"/>
      <c r="K40" s="31"/>
      <c r="L40" s="39"/>
    </row>
    <row r="41" spans="1:12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250800</v>
      </c>
      <c r="J41" s="32"/>
      <c r="K41" s="31"/>
      <c r="L41" s="39"/>
    </row>
    <row r="42" spans="1:12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250800</v>
      </c>
      <c r="J42" s="32"/>
      <c r="K42" s="31"/>
      <c r="L42" s="39"/>
    </row>
    <row r="43" spans="1:12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250800</v>
      </c>
      <c r="J43" s="32"/>
      <c r="K43" s="31"/>
      <c r="L43" s="39"/>
    </row>
    <row r="44" spans="1:12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250800</v>
      </c>
      <c r="J44" s="32"/>
      <c r="K44" s="31"/>
      <c r="L44" s="39"/>
    </row>
    <row r="45" spans="1:12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250800</v>
      </c>
      <c r="J45" s="32"/>
      <c r="K45" s="31"/>
      <c r="L45" s="39"/>
    </row>
    <row r="46" spans="1:12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250800</v>
      </c>
      <c r="J46" s="32"/>
      <c r="K46" s="31"/>
      <c r="L46" s="39"/>
    </row>
    <row r="47" spans="1:12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250800</v>
      </c>
      <c r="J47" s="37"/>
      <c r="K47" s="38"/>
      <c r="L47" s="39"/>
    </row>
    <row r="48" spans="1:12">
      <c r="A48" s="16" t="s">
        <v>86</v>
      </c>
      <c r="B48" s="9"/>
      <c r="C48" s="9"/>
      <c r="D48" s="9"/>
      <c r="E48" s="42"/>
      <c r="F48" s="42">
        <f>SUBTOTAL(109,テーブル1312131415161718192021[仕入金額])</f>
        <v>617100</v>
      </c>
      <c r="G48" s="42"/>
      <c r="H48" s="42">
        <f>SUBTOTAL(109,テーブル1312131415161718192021[支払金額])</f>
        <v>366300</v>
      </c>
      <c r="I48" s="42">
        <f>テーブル1312131415161718192021[[#Totals],[仕入金額]]-テーブル1312131415161718192021[[#Totals],[支払金額]]</f>
        <v>250800</v>
      </c>
      <c r="J48" s="42"/>
      <c r="K48" s="43">
        <f>SUBTOTAL(103,テーブル1312131415161718192021[裕子])</f>
        <v>7</v>
      </c>
      <c r="L48" s="39"/>
    </row>
  </sheetData>
  <phoneticPr fontId="1"/>
  <dataValidations count="4">
    <dataValidation type="list" allowBlank="1" showInputMessage="1" showErrorMessage="1" sqref="B2:B47" xr:uid="{0FE935D3-5683-4117-86EF-88C7A0FB8609}">
      <formula1>"田原,田中,高木,勝田,森山,市村,金築,その他"</formula1>
    </dataValidation>
    <dataValidation type="list" allowBlank="1" showInputMessage="1" showErrorMessage="1" sqref="J2:K47" xr:uid="{998F76F2-F0DC-4310-BD41-4CA9550473FD}">
      <formula1>"  ,済"</formula1>
    </dataValidation>
    <dataValidation type="list" allowBlank="1" showInputMessage="1" showErrorMessage="1" sqref="G49:G61" xr:uid="{E34252D6-8B9C-4AF1-A8D7-433DC0938934}">
      <formula1>",合銀1,合銀,島銀,振込手数,    "</formula1>
    </dataValidation>
    <dataValidation type="list" allowBlank="1" showInputMessage="1" showErrorMessage="1" sqref="G2:G47" xr:uid="{3D4F2D1D-2EF2-40F8-BDDA-706054F37342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&amp;C（株）島根サッシセンター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E53F-BD6F-40A3-A1D8-3EF72C2BB603}">
  <sheetPr codeName="Sheet20">
    <tabColor rgb="FF00B0F0"/>
  </sheetPr>
  <dimension ref="A1:K48"/>
  <sheetViews>
    <sheetView workbookViewId="0">
      <pane ySplit="1" topLeftCell="A2" activePane="bottomLeft" state="frozen"/>
      <selection pane="bottomLeft" activeCell="H14" sqref="H14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88</v>
      </c>
      <c r="D2" s="2">
        <v>1</v>
      </c>
      <c r="E2" s="30">
        <v>46690</v>
      </c>
      <c r="F2" s="30">
        <f>D2*E2</f>
        <v>46690</v>
      </c>
      <c r="G2" s="30"/>
      <c r="H2" s="30"/>
      <c r="I2" s="30">
        <f>F2-H2</f>
        <v>46690</v>
      </c>
      <c r="J2" s="30"/>
      <c r="K2" s="31" t="s">
        <v>89</v>
      </c>
    </row>
    <row r="3" spans="1:11">
      <c r="A3" s="4">
        <v>44671</v>
      </c>
      <c r="B3" s="2"/>
      <c r="C3" s="1"/>
      <c r="D3" s="1"/>
      <c r="E3" s="32"/>
      <c r="F3" s="32">
        <f t="shared" ref="F3:F47" si="0">D3*E3</f>
        <v>0</v>
      </c>
      <c r="G3" s="30"/>
      <c r="H3" s="32">
        <v>46690</v>
      </c>
      <c r="I3" s="32">
        <f>I2+F3-H3</f>
        <v>0</v>
      </c>
      <c r="J3" s="32" t="s">
        <v>89</v>
      </c>
      <c r="K3" s="31" t="s">
        <v>89</v>
      </c>
    </row>
    <row r="4" spans="1:11">
      <c r="A4" s="4">
        <v>44671</v>
      </c>
      <c r="B4" s="2"/>
      <c r="C4" s="1" t="s">
        <v>123</v>
      </c>
      <c r="D4" s="1">
        <v>1</v>
      </c>
      <c r="E4" s="32">
        <v>69627</v>
      </c>
      <c r="F4" s="32">
        <f>D4*E4</f>
        <v>69627</v>
      </c>
      <c r="G4" s="30" t="s">
        <v>124</v>
      </c>
      <c r="H4" s="32"/>
      <c r="I4" s="32">
        <f>I3+F4-H4</f>
        <v>69627</v>
      </c>
      <c r="J4" s="32" t="s">
        <v>89</v>
      </c>
      <c r="K4" s="31" t="s">
        <v>89</v>
      </c>
    </row>
    <row r="5" spans="1:11">
      <c r="A5" s="4">
        <v>44701</v>
      </c>
      <c r="B5" s="2"/>
      <c r="C5" s="1"/>
      <c r="D5" s="1"/>
      <c r="E5" s="32"/>
      <c r="F5" s="32">
        <f>D5*E5</f>
        <v>0</v>
      </c>
      <c r="G5" s="30"/>
      <c r="H5" s="32">
        <v>69627</v>
      </c>
      <c r="I5" s="32">
        <f t="shared" ref="I5:I8" si="1">I4+F5-H5</f>
        <v>0</v>
      </c>
      <c r="J5" s="32" t="s">
        <v>89</v>
      </c>
      <c r="K5" s="31" t="s">
        <v>89</v>
      </c>
    </row>
    <row r="6" spans="1:11">
      <c r="A6" s="4">
        <v>44701</v>
      </c>
      <c r="B6" s="2"/>
      <c r="C6" s="1" t="s">
        <v>123</v>
      </c>
      <c r="D6" s="1">
        <v>1</v>
      </c>
      <c r="E6" s="32">
        <v>67671</v>
      </c>
      <c r="F6" s="32">
        <f>D6*E6</f>
        <v>67671</v>
      </c>
      <c r="G6" s="30" t="s">
        <v>124</v>
      </c>
      <c r="H6" s="32"/>
      <c r="I6" s="32">
        <f t="shared" si="1"/>
        <v>67671</v>
      </c>
      <c r="J6" s="32" t="s">
        <v>89</v>
      </c>
      <c r="K6" s="31" t="s">
        <v>89</v>
      </c>
    </row>
    <row r="7" spans="1:11">
      <c r="A7" s="4">
        <v>44732</v>
      </c>
      <c r="B7" s="2"/>
      <c r="C7" s="1"/>
      <c r="D7" s="1"/>
      <c r="E7" s="32"/>
      <c r="F7" s="32">
        <f t="shared" si="0"/>
        <v>0</v>
      </c>
      <c r="G7" s="30"/>
      <c r="H7" s="32">
        <v>67671</v>
      </c>
      <c r="I7" s="32">
        <f t="shared" si="1"/>
        <v>0</v>
      </c>
      <c r="J7" s="32" t="s">
        <v>89</v>
      </c>
      <c r="K7" s="31" t="s">
        <v>89</v>
      </c>
    </row>
    <row r="8" spans="1:11">
      <c r="A8" s="4">
        <v>44762</v>
      </c>
      <c r="B8" s="2"/>
      <c r="C8" s="1" t="s">
        <v>123</v>
      </c>
      <c r="D8" s="1">
        <v>1</v>
      </c>
      <c r="E8" s="32">
        <v>71642</v>
      </c>
      <c r="F8" s="32">
        <f t="shared" si="0"/>
        <v>71642</v>
      </c>
      <c r="G8" s="30" t="s">
        <v>124</v>
      </c>
      <c r="H8" s="32"/>
      <c r="I8" s="32">
        <f t="shared" si="1"/>
        <v>71642</v>
      </c>
      <c r="J8" s="32" t="s">
        <v>89</v>
      </c>
      <c r="K8" s="31" t="s">
        <v>89</v>
      </c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>I8+F9-H9</f>
        <v>71642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ref="I10:I18" si="2">I9+F10-H10</f>
        <v>71642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2"/>
        <v>71642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2"/>
        <v>71642</v>
      </c>
      <c r="J12" s="32"/>
      <c r="K12" s="31"/>
    </row>
    <row r="13" spans="1:11">
      <c r="A13" s="4"/>
      <c r="B13" s="2"/>
      <c r="C13" s="1"/>
      <c r="D13" s="1"/>
      <c r="E13" s="1"/>
      <c r="F13" s="1">
        <f t="shared" si="0"/>
        <v>0</v>
      </c>
      <c r="G13" s="2"/>
      <c r="H13" s="1"/>
      <c r="I13" s="32">
        <f t="shared" si="2"/>
        <v>71642</v>
      </c>
      <c r="J13" s="1"/>
      <c r="K13" s="5"/>
    </row>
    <row r="14" spans="1:11">
      <c r="A14" s="4"/>
      <c r="B14" s="2"/>
      <c r="C14" s="1"/>
      <c r="D14" s="1"/>
      <c r="E14" s="1"/>
      <c r="F14" s="1">
        <f t="shared" si="0"/>
        <v>0</v>
      </c>
      <c r="G14" s="2"/>
      <c r="H14" s="1"/>
      <c r="I14" s="32">
        <f t="shared" si="2"/>
        <v>71642</v>
      </c>
      <c r="J14" s="1"/>
      <c r="K14" s="5"/>
    </row>
    <row r="15" spans="1:11">
      <c r="A15" s="4"/>
      <c r="B15" s="2"/>
      <c r="C15" s="1"/>
      <c r="D15" s="1"/>
      <c r="E15" s="1"/>
      <c r="F15" s="1">
        <f t="shared" si="0"/>
        <v>0</v>
      </c>
      <c r="G15" s="2"/>
      <c r="H15" s="1"/>
      <c r="I15" s="32">
        <f t="shared" si="2"/>
        <v>71642</v>
      </c>
      <c r="J15" s="1"/>
      <c r="K15" s="5"/>
    </row>
    <row r="16" spans="1:11">
      <c r="A16" s="4"/>
      <c r="B16" s="2"/>
      <c r="C16" s="1"/>
      <c r="D16" s="1"/>
      <c r="E16" s="1"/>
      <c r="F16" s="1">
        <f t="shared" si="0"/>
        <v>0</v>
      </c>
      <c r="G16" s="2"/>
      <c r="H16" s="1"/>
      <c r="I16" s="32">
        <f t="shared" si="2"/>
        <v>71642</v>
      </c>
      <c r="J16" s="1"/>
      <c r="K16" s="5"/>
    </row>
    <row r="17" spans="1:11">
      <c r="A17" s="4"/>
      <c r="B17" s="2"/>
      <c r="C17" s="1"/>
      <c r="D17" s="1"/>
      <c r="E17" s="1"/>
      <c r="F17" s="1">
        <f t="shared" si="0"/>
        <v>0</v>
      </c>
      <c r="G17" s="2"/>
      <c r="H17" s="1"/>
      <c r="I17" s="32">
        <f t="shared" si="2"/>
        <v>71642</v>
      </c>
      <c r="J17" s="1"/>
      <c r="K17" s="5"/>
    </row>
    <row r="18" spans="1:11">
      <c r="A18" s="4"/>
      <c r="B18" s="2"/>
      <c r="C18" s="1"/>
      <c r="D18" s="1"/>
      <c r="E18" s="1"/>
      <c r="F18" s="1">
        <f t="shared" si="0"/>
        <v>0</v>
      </c>
      <c r="G18" s="2"/>
      <c r="H18" s="1"/>
      <c r="I18" s="32">
        <f t="shared" si="2"/>
        <v>71642</v>
      </c>
      <c r="J18" s="1"/>
      <c r="K18" s="5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ref="I19:I47" si="3">I18+F19-H19</f>
        <v>71642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3"/>
        <v>71642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3"/>
        <v>71642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3"/>
        <v>71642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3"/>
        <v>71642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3"/>
        <v>71642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3"/>
        <v>71642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3"/>
        <v>71642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3"/>
        <v>71642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3"/>
        <v>71642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3"/>
        <v>71642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3"/>
        <v>71642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3"/>
        <v>71642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3"/>
        <v>71642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3"/>
        <v>71642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3"/>
        <v>71642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3"/>
        <v>71642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3"/>
        <v>71642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3"/>
        <v>71642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3"/>
        <v>71642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3"/>
        <v>71642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3"/>
        <v>71642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3"/>
        <v>71642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3"/>
        <v>71642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71642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71642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71642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71642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3"/>
        <v>71642</v>
      </c>
      <c r="J47" s="37"/>
      <c r="K47" s="38"/>
    </row>
    <row r="48" spans="1:11">
      <c r="A48" s="16" t="s">
        <v>86</v>
      </c>
      <c r="B48" s="9"/>
      <c r="C48" s="9"/>
      <c r="D48" s="9"/>
      <c r="E48" s="35"/>
      <c r="F48" s="35">
        <f>SUBTOTAL(109,テーブル13121314151617181920212[仕入金額])</f>
        <v>255630</v>
      </c>
      <c r="G48" s="35"/>
      <c r="H48" s="35">
        <f>SUBTOTAL(109,テーブル13121314151617181920212[支払金額])</f>
        <v>183988</v>
      </c>
      <c r="I48" s="35">
        <f>テーブル13121314151617181920212[[#Totals],[仕入金額]]-テーブル13121314151617181920212[[#Totals],[支払金額]]</f>
        <v>71642</v>
      </c>
      <c r="J48" s="35"/>
      <c r="K48" s="36">
        <f>SUBTOTAL(103,テーブル13121314151617181920212[裕子])</f>
        <v>7</v>
      </c>
    </row>
  </sheetData>
  <phoneticPr fontId="1"/>
  <dataValidations count="5">
    <dataValidation type="list" allowBlank="1" showInputMessage="1" showErrorMessage="1" sqref="G49:G61" xr:uid="{2CCE6E7C-98B6-4161-866E-85FE143643D4}">
      <formula1>",合銀1,合銀,島銀,振込手数,    "</formula1>
    </dataValidation>
    <dataValidation type="list" allowBlank="1" showInputMessage="1" showErrorMessage="1" sqref="M5" xr:uid="{7A9BB2E7-E664-427D-89BA-958282A58837}">
      <formula1>$G$3</formula1>
    </dataValidation>
    <dataValidation type="list" allowBlank="1" showInputMessage="1" showErrorMessage="1" sqref="G2:G47" xr:uid="{A5DDDF5C-7CB5-47C7-86D0-587DB6032CA2}">
      <formula1>",合銀1,合銀,島銀,JA,現金,振込手数,値引"</formula1>
    </dataValidation>
    <dataValidation type="list" allowBlank="1" showInputMessage="1" showErrorMessage="1" sqref="J2:K47" xr:uid="{D9E1E15D-FB48-4146-85E3-B5EF108146C5}">
      <formula1>"  ,済"</formula1>
    </dataValidation>
    <dataValidation type="list" allowBlank="1" showInputMessage="1" showErrorMessage="1" sqref="B2:B47" xr:uid="{A39CAFDC-ADC3-46E9-A150-4850712E4446}">
      <formula1>"田原,田中,高木,勝田,森山,市村,金築,その他"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&amp;C（株）島根サッシセンター</oddHeader>
  </headerFooter>
  <ignoredErrors>
    <ignoredError sqref="G4 G6 G8" listDataValidation="1"/>
    <ignoredError sqref="I2" calculatedColumn="1"/>
  </ignoredErrors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C4585-CD51-4EBF-89FC-6D691163697E}">
  <sheetPr codeName="Sheet21">
    <tabColor theme="7" tint="0.39997558519241921"/>
  </sheetPr>
  <dimension ref="A1:K48"/>
  <sheetViews>
    <sheetView workbookViewId="0">
      <pane ySplit="1" topLeftCell="A2" activePane="bottomLeft" state="frozen"/>
      <selection pane="bottomLeft" activeCell="M8" sqref="M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44762</v>
      </c>
      <c r="B2" s="2" t="s">
        <v>104</v>
      </c>
      <c r="C2" s="2"/>
      <c r="D2" s="2">
        <v>1</v>
      </c>
      <c r="E2" s="30">
        <v>11000</v>
      </c>
      <c r="F2" s="30">
        <f>D2*E2</f>
        <v>11000</v>
      </c>
      <c r="G2" s="30"/>
      <c r="H2" s="30"/>
      <c r="I2" s="30">
        <f>F2-H2</f>
        <v>11000</v>
      </c>
      <c r="J2" s="30" t="s">
        <v>89</v>
      </c>
      <c r="K2" s="5" t="s">
        <v>89</v>
      </c>
    </row>
    <row r="3" spans="1:11">
      <c r="A3" s="4"/>
      <c r="B3" s="2"/>
      <c r="C3" s="1"/>
      <c r="D3" s="1"/>
      <c r="E3" s="32"/>
      <c r="F3" s="32">
        <f t="shared" ref="F3:F47" si="0">D3*E3</f>
        <v>0</v>
      </c>
      <c r="G3" s="30"/>
      <c r="H3" s="32"/>
      <c r="I3" s="32">
        <f>I2+F3-H3</f>
        <v>11000</v>
      </c>
      <c r="J3" s="32"/>
      <c r="K3" s="5"/>
    </row>
    <row r="4" spans="1:11">
      <c r="A4" s="4"/>
      <c r="B4" s="2"/>
      <c r="C4" s="1"/>
      <c r="D4" s="1"/>
      <c r="E4" s="32"/>
      <c r="F4" s="32">
        <f t="shared" si="0"/>
        <v>0</v>
      </c>
      <c r="G4" s="30"/>
      <c r="H4" s="32"/>
      <c r="I4" s="32">
        <f t="shared" ref="I4:I47" si="1">I3+F4-H4</f>
        <v>11000</v>
      </c>
      <c r="J4" s="32"/>
      <c r="K4" s="5"/>
    </row>
    <row r="5" spans="1:11">
      <c r="A5" s="4"/>
      <c r="B5" s="2"/>
      <c r="C5" s="1"/>
      <c r="D5" s="1"/>
      <c r="E5" s="32"/>
      <c r="F5" s="32">
        <f t="shared" si="0"/>
        <v>0</v>
      </c>
      <c r="G5" s="30"/>
      <c r="H5" s="32"/>
      <c r="I5" s="32">
        <f t="shared" si="1"/>
        <v>11000</v>
      </c>
      <c r="J5" s="32"/>
      <c r="K5" s="5"/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11000</v>
      </c>
      <c r="J6" s="32"/>
      <c r="K6" s="5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11000</v>
      </c>
      <c r="J7" s="32"/>
      <c r="K7" s="5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11000</v>
      </c>
      <c r="J8" s="32"/>
      <c r="K8" s="5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11000</v>
      </c>
      <c r="J9" s="32"/>
      <c r="K9" s="5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11000</v>
      </c>
      <c r="J10" s="32"/>
      <c r="K10" s="5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11000</v>
      </c>
      <c r="J11" s="32"/>
      <c r="K11" s="5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11000</v>
      </c>
      <c r="J12" s="32"/>
      <c r="K12" s="5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11000</v>
      </c>
      <c r="J13" s="32"/>
      <c r="K13" s="5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11000</v>
      </c>
      <c r="J14" s="32"/>
      <c r="K14" s="5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11000</v>
      </c>
      <c r="J15" s="32"/>
      <c r="K15" s="5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11000</v>
      </c>
      <c r="J16" s="32"/>
      <c r="K16" s="5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11000</v>
      </c>
      <c r="J17" s="32"/>
      <c r="K17" s="5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11000</v>
      </c>
      <c r="J18" s="32"/>
      <c r="K18" s="5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11000</v>
      </c>
      <c r="J19" s="32"/>
      <c r="K19" s="5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11000</v>
      </c>
      <c r="J20" s="32"/>
      <c r="K20" s="5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11000</v>
      </c>
      <c r="J21" s="32"/>
      <c r="K21" s="5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11000</v>
      </c>
      <c r="J22" s="32"/>
      <c r="K22" s="5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11000</v>
      </c>
      <c r="J23" s="32"/>
      <c r="K23" s="5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11000</v>
      </c>
      <c r="J24" s="32"/>
      <c r="K24" s="5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11000</v>
      </c>
      <c r="J25" s="32"/>
      <c r="K25" s="5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11000</v>
      </c>
      <c r="J26" s="32"/>
      <c r="K26" s="5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11000</v>
      </c>
      <c r="J27" s="32"/>
      <c r="K27" s="5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11000</v>
      </c>
      <c r="J28" s="32"/>
      <c r="K28" s="5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11000</v>
      </c>
      <c r="J29" s="32"/>
      <c r="K29" s="5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11000</v>
      </c>
      <c r="J30" s="32"/>
      <c r="K30" s="5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11000</v>
      </c>
      <c r="J31" s="32"/>
      <c r="K31" s="5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11000</v>
      </c>
      <c r="J32" s="32"/>
      <c r="K32" s="5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11000</v>
      </c>
      <c r="J33" s="32"/>
      <c r="K33" s="5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11000</v>
      </c>
      <c r="J34" s="32"/>
      <c r="K34" s="5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11000</v>
      </c>
      <c r="J35" s="32"/>
      <c r="K35" s="5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11000</v>
      </c>
      <c r="J36" s="32"/>
      <c r="K36" s="5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11000</v>
      </c>
      <c r="J37" s="32"/>
      <c r="K37" s="5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11000</v>
      </c>
      <c r="J38" s="32"/>
      <c r="K38" s="5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11000</v>
      </c>
      <c r="J39" s="32"/>
      <c r="K39" s="5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11000</v>
      </c>
      <c r="J40" s="32"/>
      <c r="K40" s="5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11000</v>
      </c>
      <c r="J41" s="32"/>
      <c r="K41" s="5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11000</v>
      </c>
      <c r="J42" s="32"/>
      <c r="K42" s="5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11000</v>
      </c>
      <c r="J43" s="32"/>
      <c r="K43" s="5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11000</v>
      </c>
      <c r="J44" s="32"/>
      <c r="K44" s="5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11000</v>
      </c>
      <c r="J45" s="32"/>
      <c r="K45" s="5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11000</v>
      </c>
      <c r="J46" s="32"/>
      <c r="K46" s="5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11000</v>
      </c>
      <c r="J47" s="37"/>
      <c r="K47" s="11"/>
    </row>
    <row r="48" spans="1:11">
      <c r="A48" s="16" t="s">
        <v>86</v>
      </c>
      <c r="B48" s="9"/>
      <c r="C48" s="9"/>
      <c r="D48" s="9"/>
      <c r="E48" s="35"/>
      <c r="F48" s="35">
        <f>SUBTOTAL(109,テーブル131213141516171819202122[仕入金額])</f>
        <v>11000</v>
      </c>
      <c r="G48" s="35"/>
      <c r="H48" s="35">
        <f>SUBTOTAL(109,テーブル131213141516171819202122[支払金額])</f>
        <v>0</v>
      </c>
      <c r="I48" s="35">
        <f>テーブル131213141516171819202122[[#Totals],[仕入金額]]-テーブル131213141516171819202122[[#Totals],[支払金額]]</f>
        <v>11000</v>
      </c>
      <c r="J48" s="35"/>
      <c r="K48" s="17"/>
    </row>
  </sheetData>
  <phoneticPr fontId="1"/>
  <dataValidations count="4">
    <dataValidation type="list" allowBlank="1" showInputMessage="1" showErrorMessage="1" sqref="G49:G61" xr:uid="{0A27E910-5637-42DF-AEA8-E23B44DE7F94}">
      <formula1>",合銀1,合銀,島銀,振込手数,    "</formula1>
    </dataValidation>
    <dataValidation type="list" allowBlank="1" showInputMessage="1" showErrorMessage="1" sqref="J2:K47" xr:uid="{9C97BD62-461C-4C07-B825-6EA1C3D99BC9}">
      <formula1>"  ,済"</formula1>
    </dataValidation>
    <dataValidation type="list" allowBlank="1" showInputMessage="1" showErrorMessage="1" sqref="B2:B47" xr:uid="{961DD46A-9049-4FD6-BBBC-649AA92FCE6A}">
      <formula1>"田原,田中,高木,勝田,森山,市村,金築,その他"</formula1>
    </dataValidation>
    <dataValidation type="list" allowBlank="1" showInputMessage="1" showErrorMessage="1" sqref="G2:G47" xr:uid="{5EF19D11-2780-4599-9ABC-4DB4199C4858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&amp;C高橋セメント加工所</oddHeader>
  </headerFooter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E39D4-1525-487C-8834-05C8DBB4E3FA}">
  <sheetPr codeName="Sheet22">
    <tabColor theme="7" tint="0.39997558519241921"/>
  </sheetPr>
  <dimension ref="A1:K48"/>
  <sheetViews>
    <sheetView workbookViewId="0">
      <pane ySplit="1" topLeftCell="A2" activePane="bottomLeft" state="frozen"/>
      <selection pane="bottomLeft" activeCell="N12" sqref="N12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44671</v>
      </c>
      <c r="B2" s="2" t="s">
        <v>97</v>
      </c>
      <c r="C2" s="2" t="s">
        <v>125</v>
      </c>
      <c r="D2" s="2">
        <v>1</v>
      </c>
      <c r="E2" s="30">
        <v>74800</v>
      </c>
      <c r="F2" s="30">
        <f>D2*E2</f>
        <v>74800</v>
      </c>
      <c r="G2" s="30"/>
      <c r="H2" s="30"/>
      <c r="I2" s="30">
        <f>F2-H2</f>
        <v>74800</v>
      </c>
      <c r="J2" s="30" t="s">
        <v>89</v>
      </c>
      <c r="K2" s="31" t="s">
        <v>89</v>
      </c>
    </row>
    <row r="3" spans="1:11">
      <c r="A3" s="48">
        <v>44701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74690</v>
      </c>
      <c r="I3" s="51">
        <f>I2+F3-H3</f>
        <v>110</v>
      </c>
      <c r="J3" s="51" t="s">
        <v>89</v>
      </c>
      <c r="K3" s="53" t="s">
        <v>89</v>
      </c>
    </row>
    <row r="4" spans="1:11">
      <c r="A4" s="48">
        <v>44701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3" t="s">
        <v>89</v>
      </c>
    </row>
    <row r="5" spans="1:11">
      <c r="A5" s="4">
        <v>44732</v>
      </c>
      <c r="B5" s="2" t="s">
        <v>97</v>
      </c>
      <c r="C5" s="1" t="s">
        <v>126</v>
      </c>
      <c r="D5" s="1">
        <v>1</v>
      </c>
      <c r="E5" s="32">
        <v>124300</v>
      </c>
      <c r="F5" s="32">
        <f t="shared" si="0"/>
        <v>124300</v>
      </c>
      <c r="G5" s="30"/>
      <c r="H5" s="32"/>
      <c r="I5" s="32">
        <f t="shared" si="1"/>
        <v>124300</v>
      </c>
      <c r="J5" s="32" t="s">
        <v>89</v>
      </c>
      <c r="K5" s="32" t="s">
        <v>89</v>
      </c>
    </row>
    <row r="6" spans="1:11">
      <c r="A6" s="48">
        <v>44762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124190</v>
      </c>
      <c r="I6" s="51">
        <f t="shared" si="1"/>
        <v>110</v>
      </c>
      <c r="J6" s="51" t="s">
        <v>89</v>
      </c>
      <c r="K6" s="51" t="s">
        <v>89</v>
      </c>
    </row>
    <row r="7" spans="1:11">
      <c r="A7" s="48">
        <v>44762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110</v>
      </c>
      <c r="I7" s="51">
        <f t="shared" si="1"/>
        <v>0</v>
      </c>
      <c r="J7" s="51" t="s">
        <v>89</v>
      </c>
      <c r="K7" s="51" t="s">
        <v>89</v>
      </c>
    </row>
    <row r="8" spans="1:11">
      <c r="A8" s="4">
        <v>44762</v>
      </c>
      <c r="B8" s="2" t="s">
        <v>101</v>
      </c>
      <c r="C8" s="1"/>
      <c r="D8" s="1">
        <v>1</v>
      </c>
      <c r="E8" s="32">
        <v>577500</v>
      </c>
      <c r="F8" s="32">
        <f t="shared" si="0"/>
        <v>577500</v>
      </c>
      <c r="G8" s="30"/>
      <c r="H8" s="32"/>
      <c r="I8" s="32">
        <f t="shared" si="1"/>
        <v>577500</v>
      </c>
      <c r="J8" s="32" t="s">
        <v>89</v>
      </c>
      <c r="K8" s="32" t="s">
        <v>89</v>
      </c>
    </row>
    <row r="9" spans="1:11">
      <c r="A9" s="4">
        <v>44762</v>
      </c>
      <c r="B9" s="2" t="s">
        <v>104</v>
      </c>
      <c r="C9" s="1"/>
      <c r="D9" s="1">
        <v>1</v>
      </c>
      <c r="E9" s="32">
        <v>742500</v>
      </c>
      <c r="F9" s="32">
        <f t="shared" si="0"/>
        <v>742500</v>
      </c>
      <c r="G9" s="30"/>
      <c r="H9" s="32"/>
      <c r="I9" s="32">
        <f t="shared" si="1"/>
        <v>1320000</v>
      </c>
      <c r="J9" s="32" t="s">
        <v>89</v>
      </c>
      <c r="K9" s="32" t="s">
        <v>89</v>
      </c>
    </row>
    <row r="10" spans="1:11">
      <c r="A10" s="4">
        <v>44762</v>
      </c>
      <c r="B10" s="2" t="s">
        <v>97</v>
      </c>
      <c r="C10" s="1" t="s">
        <v>127</v>
      </c>
      <c r="D10" s="1">
        <v>1</v>
      </c>
      <c r="E10" s="32">
        <v>132000</v>
      </c>
      <c r="F10" s="32">
        <f t="shared" si="0"/>
        <v>132000</v>
      </c>
      <c r="G10" s="30"/>
      <c r="H10" s="32"/>
      <c r="I10" s="32">
        <f t="shared" si="1"/>
        <v>1452000</v>
      </c>
      <c r="J10" s="32" t="s">
        <v>89</v>
      </c>
      <c r="K10" s="32" t="s">
        <v>89</v>
      </c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1452000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1452000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1452000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1452000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1452000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1452000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1452000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1452000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1452000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1452000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1452000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1452000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1452000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1452000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1452000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1452000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1452000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1452000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1452000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1452000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1452000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1452000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1452000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1452000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1452000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1452000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1452000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1452000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1452000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1452000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1452000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1452000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1452000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1452000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1452000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1452000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1452000</v>
      </c>
      <c r="J47" s="37"/>
      <c r="K47" s="38"/>
    </row>
    <row r="48" spans="1:11">
      <c r="A48" s="16" t="s">
        <v>86</v>
      </c>
      <c r="B48" s="9"/>
      <c r="C48" s="9"/>
      <c r="D48" s="9"/>
      <c r="E48" s="40"/>
      <c r="F48" s="40">
        <f>SUBTOTAL(109,テーブル13121314151617181920212223[仕入金額])</f>
        <v>1651100</v>
      </c>
      <c r="G48" s="40"/>
      <c r="H48" s="40">
        <f>SUBTOTAL(109,テーブル13121314151617181920212223[支払金額])</f>
        <v>199100</v>
      </c>
      <c r="I48" s="40">
        <f>テーブル13121314151617181920212223[[#Totals],[仕入金額]]-テーブル13121314151617181920212223[[#Totals],[支払金額]]</f>
        <v>1452000</v>
      </c>
      <c r="J48" s="40"/>
      <c r="K48" s="41">
        <f>SUBTOTAL(103,テーブル13121314151617181920212223[裕子])</f>
        <v>9</v>
      </c>
    </row>
  </sheetData>
  <phoneticPr fontId="1"/>
  <dataValidations count="4">
    <dataValidation type="list" allowBlank="1" showInputMessage="1" showErrorMessage="1" sqref="B2:B47" xr:uid="{E0C8E849-59A6-48BD-8A8E-9CA625855EBD}">
      <formula1>"田原,田中,高木,勝田,森山,市村,金築,その他"</formula1>
    </dataValidation>
    <dataValidation type="list" allowBlank="1" showInputMessage="1" showErrorMessage="1" sqref="J2:K47" xr:uid="{BF8A2D92-367D-4614-9B90-3A6A91D8838A}">
      <formula1>"  ,済"</formula1>
    </dataValidation>
    <dataValidation type="list" allowBlank="1" showInputMessage="1" showErrorMessage="1" sqref="G49:G61" xr:uid="{FB128F3E-8528-4FF2-B821-8803311D4C6A}">
      <formula1>",合銀1,合銀,島銀,振込手数,    "</formula1>
    </dataValidation>
    <dataValidation type="list" allowBlank="1" showInputMessage="1" showErrorMessage="1" sqref="G2:G47" xr:uid="{645EF50B-7A6F-4C13-B929-A3BA82F0B8BE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&amp;C恒松設備</oddHeader>
  </headerFooter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34276-7CE9-4494-A3EA-9CB9DC7A54AF}">
  <sheetPr codeName="Sheet23">
    <tabColor theme="7" tint="0.39997558519241921"/>
  </sheetPr>
  <dimension ref="A1:K48"/>
  <sheetViews>
    <sheetView workbookViewId="0">
      <pane ySplit="1" topLeftCell="A2" activePane="bottomLeft" state="frozen"/>
      <selection pane="bottomLeft" activeCell="E2" sqref="E2:K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/>
      <c r="D2" s="2"/>
      <c r="E2" s="2"/>
      <c r="F2" s="2">
        <f>D2*E2</f>
        <v>0</v>
      </c>
      <c r="G2" s="2"/>
      <c r="H2" s="2"/>
      <c r="I2" s="2">
        <f>F2-H2</f>
        <v>0</v>
      </c>
      <c r="J2" s="2"/>
      <c r="K2" s="5"/>
    </row>
    <row r="3" spans="1:11">
      <c r="A3" s="4"/>
      <c r="B3" s="2"/>
      <c r="C3" s="1"/>
      <c r="D3" s="1"/>
      <c r="E3" s="1"/>
      <c r="F3" s="1">
        <f t="shared" ref="F3:F47" si="0">D3*E3</f>
        <v>0</v>
      </c>
      <c r="G3" s="2"/>
      <c r="H3" s="1"/>
      <c r="I3" s="1">
        <f>I2+F3-H3</f>
        <v>0</v>
      </c>
      <c r="J3" s="1"/>
      <c r="K3" s="5"/>
    </row>
    <row r="4" spans="1:11">
      <c r="A4" s="4"/>
      <c r="B4" s="2"/>
      <c r="C4" s="1"/>
      <c r="D4" s="1"/>
      <c r="E4" s="1"/>
      <c r="F4" s="1">
        <f t="shared" si="0"/>
        <v>0</v>
      </c>
      <c r="G4" s="2"/>
      <c r="H4" s="1"/>
      <c r="I4" s="1">
        <f t="shared" ref="I4:I47" si="1">I3+F4-H4</f>
        <v>0</v>
      </c>
      <c r="J4" s="1"/>
      <c r="K4" s="5"/>
    </row>
    <row r="5" spans="1:11">
      <c r="A5" s="4"/>
      <c r="B5" s="2"/>
      <c r="C5" s="1"/>
      <c r="D5" s="1"/>
      <c r="E5" s="1"/>
      <c r="F5" s="1">
        <f t="shared" si="0"/>
        <v>0</v>
      </c>
      <c r="G5" s="2"/>
      <c r="H5" s="1"/>
      <c r="I5" s="1">
        <f t="shared" si="1"/>
        <v>0</v>
      </c>
      <c r="J5" s="1"/>
      <c r="K5" s="5"/>
    </row>
    <row r="6" spans="1:11">
      <c r="A6" s="4"/>
      <c r="B6" s="2"/>
      <c r="C6" s="1"/>
      <c r="D6" s="1"/>
      <c r="E6" s="1"/>
      <c r="F6" s="1">
        <f t="shared" si="0"/>
        <v>0</v>
      </c>
      <c r="G6" s="2"/>
      <c r="H6" s="1"/>
      <c r="I6" s="1">
        <f t="shared" si="1"/>
        <v>0</v>
      </c>
      <c r="J6" s="1"/>
      <c r="K6" s="5"/>
    </row>
    <row r="7" spans="1:11">
      <c r="A7" s="4"/>
      <c r="B7" s="2"/>
      <c r="C7" s="1"/>
      <c r="D7" s="1"/>
      <c r="E7" s="1"/>
      <c r="F7" s="1">
        <f t="shared" si="0"/>
        <v>0</v>
      </c>
      <c r="G7" s="2"/>
      <c r="H7" s="1"/>
      <c r="I7" s="1">
        <f t="shared" si="1"/>
        <v>0</v>
      </c>
      <c r="J7" s="1"/>
      <c r="K7" s="5"/>
    </row>
    <row r="8" spans="1:11">
      <c r="A8" s="4"/>
      <c r="B8" s="2"/>
      <c r="C8" s="1"/>
      <c r="D8" s="1"/>
      <c r="E8" s="1"/>
      <c r="F8" s="1">
        <f t="shared" si="0"/>
        <v>0</v>
      </c>
      <c r="G8" s="2"/>
      <c r="H8" s="1"/>
      <c r="I8" s="1">
        <f t="shared" si="1"/>
        <v>0</v>
      </c>
      <c r="J8" s="1"/>
      <c r="K8" s="5"/>
    </row>
    <row r="9" spans="1:11">
      <c r="A9" s="4"/>
      <c r="B9" s="2"/>
      <c r="C9" s="1"/>
      <c r="D9" s="1"/>
      <c r="E9" s="1"/>
      <c r="F9" s="1">
        <f t="shared" si="0"/>
        <v>0</v>
      </c>
      <c r="G9" s="2"/>
      <c r="H9" s="1"/>
      <c r="I9" s="1">
        <f t="shared" si="1"/>
        <v>0</v>
      </c>
      <c r="J9" s="1"/>
      <c r="K9" s="5"/>
    </row>
    <row r="10" spans="1:11">
      <c r="A10" s="4"/>
      <c r="B10" s="2"/>
      <c r="C10" s="1"/>
      <c r="D10" s="1"/>
      <c r="E10" s="1"/>
      <c r="F10" s="1">
        <f t="shared" si="0"/>
        <v>0</v>
      </c>
      <c r="G10" s="2"/>
      <c r="H10" s="1"/>
      <c r="I10" s="1">
        <f t="shared" si="1"/>
        <v>0</v>
      </c>
      <c r="J10" s="1"/>
      <c r="K10" s="5"/>
    </row>
    <row r="11" spans="1:11">
      <c r="A11" s="4"/>
      <c r="B11" s="2"/>
      <c r="C11" s="1"/>
      <c r="D11" s="1"/>
      <c r="E11" s="1"/>
      <c r="F11" s="1">
        <f t="shared" si="0"/>
        <v>0</v>
      </c>
      <c r="G11" s="2"/>
      <c r="H11" s="1"/>
      <c r="I11" s="1">
        <f t="shared" si="1"/>
        <v>0</v>
      </c>
      <c r="J11" s="1"/>
      <c r="K11" s="5"/>
    </row>
    <row r="12" spans="1:11">
      <c r="A12" s="4"/>
      <c r="B12" s="2"/>
      <c r="C12" s="1"/>
      <c r="D12" s="1"/>
      <c r="E12" s="1"/>
      <c r="F12" s="1">
        <f t="shared" si="0"/>
        <v>0</v>
      </c>
      <c r="G12" s="2"/>
      <c r="H12" s="1"/>
      <c r="I12" s="1">
        <f t="shared" si="1"/>
        <v>0</v>
      </c>
      <c r="J12" s="1"/>
      <c r="K12" s="5"/>
    </row>
    <row r="13" spans="1:11">
      <c r="A13" s="4"/>
      <c r="B13" s="2"/>
      <c r="C13" s="1"/>
      <c r="D13" s="1"/>
      <c r="E13" s="1"/>
      <c r="F13" s="1">
        <f t="shared" si="0"/>
        <v>0</v>
      </c>
      <c r="G13" s="2"/>
      <c r="H13" s="1"/>
      <c r="I13" s="1">
        <f t="shared" si="1"/>
        <v>0</v>
      </c>
      <c r="J13" s="1"/>
      <c r="K13" s="5"/>
    </row>
    <row r="14" spans="1:11">
      <c r="A14" s="4"/>
      <c r="B14" s="2"/>
      <c r="C14" s="1"/>
      <c r="D14" s="1"/>
      <c r="E14" s="1"/>
      <c r="F14" s="1">
        <f t="shared" si="0"/>
        <v>0</v>
      </c>
      <c r="G14" s="2"/>
      <c r="H14" s="1"/>
      <c r="I14" s="1">
        <f t="shared" si="1"/>
        <v>0</v>
      </c>
      <c r="J14" s="1"/>
      <c r="K14" s="5"/>
    </row>
    <row r="15" spans="1:11">
      <c r="A15" s="4"/>
      <c r="B15" s="2"/>
      <c r="C15" s="1"/>
      <c r="D15" s="1"/>
      <c r="E15" s="1"/>
      <c r="F15" s="1">
        <f t="shared" si="0"/>
        <v>0</v>
      </c>
      <c r="G15" s="2"/>
      <c r="H15" s="1"/>
      <c r="I15" s="1">
        <f t="shared" si="1"/>
        <v>0</v>
      </c>
      <c r="J15" s="1"/>
      <c r="K15" s="5"/>
    </row>
    <row r="16" spans="1:11">
      <c r="A16" s="4"/>
      <c r="B16" s="2"/>
      <c r="C16" s="1"/>
      <c r="D16" s="1"/>
      <c r="E16" s="1"/>
      <c r="F16" s="1">
        <f t="shared" si="0"/>
        <v>0</v>
      </c>
      <c r="G16" s="2"/>
      <c r="H16" s="1"/>
      <c r="I16" s="1">
        <f t="shared" si="1"/>
        <v>0</v>
      </c>
      <c r="J16" s="1"/>
      <c r="K16" s="5"/>
    </row>
    <row r="17" spans="1:11">
      <c r="A17" s="4"/>
      <c r="B17" s="2"/>
      <c r="C17" s="1"/>
      <c r="D17" s="1"/>
      <c r="E17" s="1"/>
      <c r="F17" s="1">
        <f t="shared" si="0"/>
        <v>0</v>
      </c>
      <c r="G17" s="2"/>
      <c r="H17" s="1"/>
      <c r="I17" s="1">
        <f t="shared" si="1"/>
        <v>0</v>
      </c>
      <c r="J17" s="1"/>
      <c r="K17" s="5"/>
    </row>
    <row r="18" spans="1:11">
      <c r="A18" s="4"/>
      <c r="B18" s="2"/>
      <c r="C18" s="1"/>
      <c r="D18" s="1"/>
      <c r="E18" s="1"/>
      <c r="F18" s="1">
        <f t="shared" si="0"/>
        <v>0</v>
      </c>
      <c r="G18" s="2"/>
      <c r="H18" s="1"/>
      <c r="I18" s="1">
        <f t="shared" si="1"/>
        <v>0</v>
      </c>
      <c r="J18" s="1"/>
      <c r="K18" s="5"/>
    </row>
    <row r="19" spans="1:11">
      <c r="A19" s="4"/>
      <c r="B19" s="2"/>
      <c r="C19" s="1"/>
      <c r="D19" s="1"/>
      <c r="E19" s="1"/>
      <c r="F19" s="1">
        <f t="shared" si="0"/>
        <v>0</v>
      </c>
      <c r="G19" s="2"/>
      <c r="H19" s="1"/>
      <c r="I19" s="1">
        <f t="shared" si="1"/>
        <v>0</v>
      </c>
      <c r="J19" s="1"/>
      <c r="K19" s="5"/>
    </row>
    <row r="20" spans="1:11">
      <c r="A20" s="4"/>
      <c r="B20" s="2"/>
      <c r="C20" s="1"/>
      <c r="D20" s="1"/>
      <c r="E20" s="1"/>
      <c r="F20" s="1">
        <f t="shared" si="0"/>
        <v>0</v>
      </c>
      <c r="G20" s="2"/>
      <c r="H20" s="1"/>
      <c r="I20" s="1">
        <f t="shared" si="1"/>
        <v>0</v>
      </c>
      <c r="J20" s="1"/>
      <c r="K20" s="5"/>
    </row>
    <row r="21" spans="1:11">
      <c r="A21" s="4"/>
      <c r="B21" s="2"/>
      <c r="C21" s="1"/>
      <c r="D21" s="1"/>
      <c r="E21" s="1"/>
      <c r="F21" s="1">
        <f t="shared" si="0"/>
        <v>0</v>
      </c>
      <c r="G21" s="2"/>
      <c r="H21" s="1"/>
      <c r="I21" s="1">
        <f t="shared" si="1"/>
        <v>0</v>
      </c>
      <c r="J21" s="1"/>
      <c r="K21" s="5"/>
    </row>
    <row r="22" spans="1:11">
      <c r="A22" s="4"/>
      <c r="B22" s="2"/>
      <c r="C22" s="1"/>
      <c r="D22" s="1"/>
      <c r="E22" s="1"/>
      <c r="F22" s="1">
        <f t="shared" si="0"/>
        <v>0</v>
      </c>
      <c r="G22" s="2"/>
      <c r="H22" s="1"/>
      <c r="I22" s="1">
        <f t="shared" si="1"/>
        <v>0</v>
      </c>
      <c r="J22" s="1"/>
      <c r="K22" s="5"/>
    </row>
    <row r="23" spans="1:11">
      <c r="A23" s="4"/>
      <c r="B23" s="2"/>
      <c r="C23" s="1"/>
      <c r="D23" s="1"/>
      <c r="E23" s="1"/>
      <c r="F23" s="1">
        <f t="shared" si="0"/>
        <v>0</v>
      </c>
      <c r="G23" s="2"/>
      <c r="H23" s="1"/>
      <c r="I23" s="1">
        <f t="shared" si="1"/>
        <v>0</v>
      </c>
      <c r="J23" s="1"/>
      <c r="K23" s="5"/>
    </row>
    <row r="24" spans="1:11">
      <c r="A24" s="4"/>
      <c r="B24" s="2"/>
      <c r="C24" s="1"/>
      <c r="D24" s="1"/>
      <c r="E24" s="1"/>
      <c r="F24" s="1">
        <f t="shared" si="0"/>
        <v>0</v>
      </c>
      <c r="G24" s="2"/>
      <c r="H24" s="1"/>
      <c r="I24" s="1">
        <f t="shared" si="1"/>
        <v>0</v>
      </c>
      <c r="J24" s="1"/>
      <c r="K24" s="5"/>
    </row>
    <row r="25" spans="1:11">
      <c r="A25" s="4"/>
      <c r="B25" s="2"/>
      <c r="C25" s="1"/>
      <c r="D25" s="1"/>
      <c r="E25" s="1"/>
      <c r="F25" s="1">
        <f t="shared" si="0"/>
        <v>0</v>
      </c>
      <c r="G25" s="2"/>
      <c r="H25" s="1"/>
      <c r="I25" s="1">
        <f t="shared" si="1"/>
        <v>0</v>
      </c>
      <c r="J25" s="1"/>
      <c r="K25" s="5"/>
    </row>
    <row r="26" spans="1:11">
      <c r="A26" s="4"/>
      <c r="B26" s="2"/>
      <c r="C26" s="1"/>
      <c r="D26" s="1"/>
      <c r="E26" s="1"/>
      <c r="F26" s="1">
        <f t="shared" si="0"/>
        <v>0</v>
      </c>
      <c r="G26" s="2"/>
      <c r="H26" s="1"/>
      <c r="I26" s="1">
        <f t="shared" si="1"/>
        <v>0</v>
      </c>
      <c r="J26" s="1"/>
      <c r="K26" s="5"/>
    </row>
    <row r="27" spans="1:11">
      <c r="A27" s="4"/>
      <c r="B27" s="2"/>
      <c r="C27" s="1"/>
      <c r="D27" s="1"/>
      <c r="E27" s="1"/>
      <c r="F27" s="1">
        <f t="shared" si="0"/>
        <v>0</v>
      </c>
      <c r="G27" s="2"/>
      <c r="H27" s="1"/>
      <c r="I27" s="1">
        <f t="shared" si="1"/>
        <v>0</v>
      </c>
      <c r="J27" s="1"/>
      <c r="K27" s="5"/>
    </row>
    <row r="28" spans="1:11">
      <c r="A28" s="4"/>
      <c r="B28" s="2"/>
      <c r="C28" s="1"/>
      <c r="D28" s="1"/>
      <c r="E28" s="1"/>
      <c r="F28" s="1">
        <f t="shared" si="0"/>
        <v>0</v>
      </c>
      <c r="G28" s="2"/>
      <c r="H28" s="1"/>
      <c r="I28" s="1">
        <f t="shared" si="1"/>
        <v>0</v>
      </c>
      <c r="J28" s="1"/>
      <c r="K28" s="5"/>
    </row>
    <row r="29" spans="1:11">
      <c r="A29" s="4"/>
      <c r="B29" s="2"/>
      <c r="C29" s="1"/>
      <c r="D29" s="1"/>
      <c r="E29" s="1"/>
      <c r="F29" s="1">
        <f t="shared" si="0"/>
        <v>0</v>
      </c>
      <c r="G29" s="2"/>
      <c r="H29" s="1"/>
      <c r="I29" s="1">
        <f t="shared" si="1"/>
        <v>0</v>
      </c>
      <c r="J29" s="1"/>
      <c r="K29" s="5"/>
    </row>
    <row r="30" spans="1:11">
      <c r="A30" s="4"/>
      <c r="B30" s="2"/>
      <c r="C30" s="1"/>
      <c r="D30" s="1"/>
      <c r="E30" s="1"/>
      <c r="F30" s="1">
        <f t="shared" si="0"/>
        <v>0</v>
      </c>
      <c r="G30" s="2"/>
      <c r="H30" s="1"/>
      <c r="I30" s="1">
        <f t="shared" si="1"/>
        <v>0</v>
      </c>
      <c r="J30" s="1"/>
      <c r="K30" s="5"/>
    </row>
    <row r="31" spans="1:11">
      <c r="A31" s="4"/>
      <c r="B31" s="2"/>
      <c r="C31" s="1"/>
      <c r="D31" s="1"/>
      <c r="E31" s="1"/>
      <c r="F31" s="1">
        <f t="shared" si="0"/>
        <v>0</v>
      </c>
      <c r="G31" s="2"/>
      <c r="H31" s="1"/>
      <c r="I31" s="1">
        <f t="shared" si="1"/>
        <v>0</v>
      </c>
      <c r="J31" s="1"/>
      <c r="K31" s="5"/>
    </row>
    <row r="32" spans="1:11">
      <c r="A32" s="4"/>
      <c r="B32" s="2"/>
      <c r="C32" s="1"/>
      <c r="D32" s="1"/>
      <c r="E32" s="1"/>
      <c r="F32" s="1">
        <f t="shared" si="0"/>
        <v>0</v>
      </c>
      <c r="G32" s="2"/>
      <c r="H32" s="1"/>
      <c r="I32" s="1">
        <f t="shared" si="1"/>
        <v>0</v>
      </c>
      <c r="J32" s="1"/>
      <c r="K32" s="5"/>
    </row>
    <row r="33" spans="1:11">
      <c r="A33" s="4"/>
      <c r="B33" s="2"/>
      <c r="C33" s="1"/>
      <c r="D33" s="1"/>
      <c r="E33" s="1"/>
      <c r="F33" s="1">
        <f t="shared" si="0"/>
        <v>0</v>
      </c>
      <c r="G33" s="2"/>
      <c r="H33" s="1"/>
      <c r="I33" s="1">
        <f t="shared" si="1"/>
        <v>0</v>
      </c>
      <c r="J33" s="1"/>
      <c r="K33" s="5"/>
    </row>
    <row r="34" spans="1:11">
      <c r="A34" s="4"/>
      <c r="B34" s="2"/>
      <c r="C34" s="1"/>
      <c r="D34" s="1"/>
      <c r="E34" s="1"/>
      <c r="F34" s="1">
        <f t="shared" si="0"/>
        <v>0</v>
      </c>
      <c r="G34" s="2"/>
      <c r="H34" s="1"/>
      <c r="I34" s="1">
        <f t="shared" si="1"/>
        <v>0</v>
      </c>
      <c r="J34" s="1"/>
      <c r="K34" s="5"/>
    </row>
    <row r="35" spans="1:11">
      <c r="A35" s="4"/>
      <c r="B35" s="2"/>
      <c r="C35" s="1"/>
      <c r="D35" s="1"/>
      <c r="E35" s="1"/>
      <c r="F35" s="1">
        <f t="shared" si="0"/>
        <v>0</v>
      </c>
      <c r="G35" s="2"/>
      <c r="H35" s="1"/>
      <c r="I35" s="1">
        <f t="shared" si="1"/>
        <v>0</v>
      </c>
      <c r="J35" s="1"/>
      <c r="K35" s="5"/>
    </row>
    <row r="36" spans="1:11">
      <c r="A36" s="4"/>
      <c r="B36" s="2"/>
      <c r="C36" s="1"/>
      <c r="D36" s="1"/>
      <c r="E36" s="1"/>
      <c r="F36" s="1">
        <f t="shared" si="0"/>
        <v>0</v>
      </c>
      <c r="G36" s="2"/>
      <c r="H36" s="1"/>
      <c r="I36" s="1">
        <f t="shared" si="1"/>
        <v>0</v>
      </c>
      <c r="J36" s="1"/>
      <c r="K36" s="5"/>
    </row>
    <row r="37" spans="1:11">
      <c r="A37" s="4"/>
      <c r="B37" s="2"/>
      <c r="C37" s="1"/>
      <c r="D37" s="1"/>
      <c r="E37" s="1"/>
      <c r="F37" s="1">
        <f t="shared" si="0"/>
        <v>0</v>
      </c>
      <c r="G37" s="2"/>
      <c r="H37" s="1"/>
      <c r="I37" s="1">
        <f t="shared" si="1"/>
        <v>0</v>
      </c>
      <c r="J37" s="1"/>
      <c r="K37" s="5"/>
    </row>
    <row r="38" spans="1:11">
      <c r="A38" s="4"/>
      <c r="B38" s="2"/>
      <c r="C38" s="1"/>
      <c r="D38" s="1"/>
      <c r="E38" s="1"/>
      <c r="F38" s="1">
        <f t="shared" si="0"/>
        <v>0</v>
      </c>
      <c r="G38" s="2"/>
      <c r="H38" s="1"/>
      <c r="I38" s="1">
        <f t="shared" si="1"/>
        <v>0</v>
      </c>
      <c r="J38" s="1"/>
      <c r="K38" s="5"/>
    </row>
    <row r="39" spans="1:11">
      <c r="A39" s="4"/>
      <c r="B39" s="2"/>
      <c r="C39" s="1"/>
      <c r="D39" s="1"/>
      <c r="E39" s="1"/>
      <c r="F39" s="1">
        <f t="shared" si="0"/>
        <v>0</v>
      </c>
      <c r="G39" s="2"/>
      <c r="H39" s="1"/>
      <c r="I39" s="1">
        <f t="shared" si="1"/>
        <v>0</v>
      </c>
      <c r="J39" s="1"/>
      <c r="K39" s="5"/>
    </row>
    <row r="40" spans="1:11">
      <c r="A40" s="4"/>
      <c r="B40" s="2"/>
      <c r="C40" s="1"/>
      <c r="D40" s="1"/>
      <c r="E40" s="1"/>
      <c r="F40" s="1">
        <f t="shared" si="0"/>
        <v>0</v>
      </c>
      <c r="G40" s="2"/>
      <c r="H40" s="1"/>
      <c r="I40" s="1">
        <f t="shared" si="1"/>
        <v>0</v>
      </c>
      <c r="J40" s="1"/>
      <c r="K40" s="5"/>
    </row>
    <row r="41" spans="1:11">
      <c r="A41" s="4"/>
      <c r="B41" s="2"/>
      <c r="C41" s="1"/>
      <c r="D41" s="1"/>
      <c r="E41" s="1"/>
      <c r="F41" s="1">
        <f t="shared" si="0"/>
        <v>0</v>
      </c>
      <c r="G41" s="2"/>
      <c r="H41" s="1"/>
      <c r="I41" s="1">
        <f t="shared" si="1"/>
        <v>0</v>
      </c>
      <c r="J41" s="1"/>
      <c r="K41" s="5"/>
    </row>
    <row r="42" spans="1:11">
      <c r="A42" s="4"/>
      <c r="B42" s="2"/>
      <c r="C42" s="1"/>
      <c r="D42" s="1"/>
      <c r="E42" s="1"/>
      <c r="F42" s="1">
        <f t="shared" si="0"/>
        <v>0</v>
      </c>
      <c r="G42" s="2"/>
      <c r="H42" s="1"/>
      <c r="I42" s="1">
        <f t="shared" si="1"/>
        <v>0</v>
      </c>
      <c r="J42" s="1"/>
      <c r="K42" s="5"/>
    </row>
    <row r="43" spans="1:11">
      <c r="A43" s="4"/>
      <c r="B43" s="2"/>
      <c r="C43" s="1"/>
      <c r="D43" s="1"/>
      <c r="E43" s="1"/>
      <c r="F43" s="1">
        <f>D43*E43</f>
        <v>0</v>
      </c>
      <c r="G43" s="2"/>
      <c r="H43" s="1"/>
      <c r="I43" s="1">
        <f>I42+F43-H43</f>
        <v>0</v>
      </c>
      <c r="J43" s="1"/>
      <c r="K43" s="5"/>
    </row>
    <row r="44" spans="1:11">
      <c r="A44" s="4"/>
      <c r="B44" s="2"/>
      <c r="C44" s="1"/>
      <c r="D44" s="1"/>
      <c r="E44" s="1"/>
      <c r="F44" s="1">
        <f>D44*E44</f>
        <v>0</v>
      </c>
      <c r="G44" s="2"/>
      <c r="H44" s="1"/>
      <c r="I44" s="1">
        <f>I43+F44-H44</f>
        <v>0</v>
      </c>
      <c r="J44" s="1"/>
      <c r="K44" s="5"/>
    </row>
    <row r="45" spans="1:11">
      <c r="A45" s="4"/>
      <c r="B45" s="2"/>
      <c r="C45" s="1"/>
      <c r="D45" s="1"/>
      <c r="E45" s="1"/>
      <c r="F45" s="1">
        <f>D45*E45</f>
        <v>0</v>
      </c>
      <c r="G45" s="2"/>
      <c r="H45" s="1"/>
      <c r="I45" s="1">
        <f>I44+F45-H45</f>
        <v>0</v>
      </c>
      <c r="J45" s="1"/>
      <c r="K45" s="5"/>
    </row>
    <row r="46" spans="1:11">
      <c r="A46" s="4"/>
      <c r="B46" s="2"/>
      <c r="C46" s="1"/>
      <c r="D46" s="1"/>
      <c r="E46" s="1"/>
      <c r="F46" s="1">
        <f t="shared" si="0"/>
        <v>0</v>
      </c>
      <c r="G46" s="2"/>
      <c r="H46" s="1"/>
      <c r="I46" s="1">
        <f>I45+F46-H46</f>
        <v>0</v>
      </c>
      <c r="J46" s="1"/>
      <c r="K46" s="5"/>
    </row>
    <row r="47" spans="1:11">
      <c r="A47" s="8"/>
      <c r="B47" s="9"/>
      <c r="C47" s="10"/>
      <c r="D47" s="10"/>
      <c r="E47" s="10"/>
      <c r="F47" s="10">
        <f t="shared" si="0"/>
        <v>0</v>
      </c>
      <c r="G47" s="2"/>
      <c r="H47" s="10"/>
      <c r="I47" s="10">
        <f t="shared" si="1"/>
        <v>0</v>
      </c>
      <c r="J47" s="10"/>
      <c r="K47" s="11"/>
    </row>
    <row r="48" spans="1:11">
      <c r="A48" s="16" t="s">
        <v>86</v>
      </c>
      <c r="B48" s="9"/>
      <c r="C48" s="9"/>
      <c r="D48" s="9"/>
      <c r="E48" s="9"/>
      <c r="F48" s="9">
        <f>SUBTOTAL(109,テーブル131213141516171819202122232425[仕入金額])</f>
        <v>0</v>
      </c>
      <c r="G48" s="9"/>
      <c r="H48" s="9">
        <f>SUBTOTAL(109,テーブル131213141516171819202122232425[支払金額])</f>
        <v>0</v>
      </c>
      <c r="I48" s="9">
        <f>テーブル131213141516171819202122232425[[#Totals],[仕入金額]]-テーブル131213141516171819202122232425[[#Totals],[支払金額]]</f>
        <v>0</v>
      </c>
      <c r="J48" s="9"/>
      <c r="K48" s="17">
        <f>SUBTOTAL(103,テーブル131213141516171819202122232425[裕子])</f>
        <v>0</v>
      </c>
    </row>
  </sheetData>
  <phoneticPr fontId="1"/>
  <dataValidations count="4">
    <dataValidation type="list" allowBlank="1" showInputMessage="1" showErrorMessage="1" sqref="B2:B47" xr:uid="{BD4CAC85-1B86-46EF-B4A3-29C8E7A85802}">
      <formula1>"田原,田中,高木,勝田,森山,市村,金築,その他"</formula1>
    </dataValidation>
    <dataValidation type="list" allowBlank="1" showInputMessage="1" showErrorMessage="1" sqref="J2:K47" xr:uid="{0B421ECA-448E-4BD1-8260-27FDA5D4E27C}">
      <formula1>"  ,済"</formula1>
    </dataValidation>
    <dataValidation type="list" allowBlank="1" showInputMessage="1" showErrorMessage="1" sqref="G49:G61" xr:uid="{58DFFA01-B2BD-4430-BD81-53696A77688C}">
      <formula1>",合銀1,合銀,島銀,振込手数,    "</formula1>
    </dataValidation>
    <dataValidation type="list" allowBlank="1" showInputMessage="1" showErrorMessage="1" sqref="G2:G47" xr:uid="{467FB5E8-209B-4DCA-8782-473E49C6F6B3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&amp;C西尾大工</oddHeader>
  </headerFooter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16F3C-AD4A-4170-80CB-AD2BFCEB5265}">
  <sheetPr codeName="Sheet24">
    <tabColor theme="7" tint="0.39997558519241921"/>
  </sheetPr>
  <dimension ref="A1:K48"/>
  <sheetViews>
    <sheetView workbookViewId="0">
      <pane ySplit="1" topLeftCell="A2" activePane="bottomLeft" state="frozen"/>
      <selection pane="bottomLeft" activeCell="O13" sqref="O13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88</v>
      </c>
      <c r="D2" s="2">
        <v>1</v>
      </c>
      <c r="E2" s="30">
        <v>1081300</v>
      </c>
      <c r="F2" s="30">
        <f>D2*E2</f>
        <v>1081300</v>
      </c>
      <c r="G2" s="30"/>
      <c r="H2" s="30"/>
      <c r="I2" s="30">
        <f>F2-H2</f>
        <v>1081300</v>
      </c>
      <c r="J2" s="30"/>
      <c r="K2" s="31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1081190</v>
      </c>
      <c r="I3" s="51">
        <f>I2+F3-H3</f>
        <v>110</v>
      </c>
      <c r="J3" s="51" t="s">
        <v>89</v>
      </c>
      <c r="K3" s="53" t="s">
        <v>89</v>
      </c>
    </row>
    <row r="4" spans="1:11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3" t="s">
        <v>89</v>
      </c>
    </row>
    <row r="5" spans="1:11">
      <c r="A5" s="4">
        <v>44671</v>
      </c>
      <c r="B5" s="2" t="s">
        <v>97</v>
      </c>
      <c r="C5" s="1" t="s">
        <v>125</v>
      </c>
      <c r="D5" s="1">
        <v>1</v>
      </c>
      <c r="E5" s="32">
        <v>22000</v>
      </c>
      <c r="F5" s="32">
        <f t="shared" si="0"/>
        <v>22000</v>
      </c>
      <c r="G5" s="30"/>
      <c r="H5" s="32"/>
      <c r="I5" s="32">
        <f t="shared" si="1"/>
        <v>22000</v>
      </c>
      <c r="J5" s="32" t="s">
        <v>89</v>
      </c>
      <c r="K5" s="31" t="s">
        <v>89</v>
      </c>
    </row>
    <row r="6" spans="1:11">
      <c r="A6" s="4">
        <v>44671</v>
      </c>
      <c r="B6" s="2" t="s">
        <v>101</v>
      </c>
      <c r="C6" s="1" t="s">
        <v>128</v>
      </c>
      <c r="D6" s="1">
        <v>1</v>
      </c>
      <c r="E6" s="32">
        <v>18108</v>
      </c>
      <c r="F6" s="32">
        <f t="shared" si="0"/>
        <v>18108</v>
      </c>
      <c r="G6" s="30"/>
      <c r="H6" s="32"/>
      <c r="I6" s="32">
        <f t="shared" si="1"/>
        <v>40108</v>
      </c>
      <c r="J6" s="32" t="s">
        <v>89</v>
      </c>
      <c r="K6" s="31" t="s">
        <v>89</v>
      </c>
    </row>
    <row r="7" spans="1:11">
      <c r="A7" s="48">
        <v>44701</v>
      </c>
      <c r="B7" s="49"/>
      <c r="C7" s="50"/>
      <c r="D7" s="50"/>
      <c r="E7" s="51"/>
      <c r="F7" s="51">
        <f t="shared" si="0"/>
        <v>0</v>
      </c>
      <c r="G7" s="52" t="s">
        <v>90</v>
      </c>
      <c r="H7" s="51">
        <v>39998</v>
      </c>
      <c r="I7" s="51">
        <f t="shared" si="1"/>
        <v>110</v>
      </c>
      <c r="J7" s="51" t="s">
        <v>89</v>
      </c>
      <c r="K7" s="53" t="s">
        <v>89</v>
      </c>
    </row>
    <row r="8" spans="1:11">
      <c r="A8" s="48">
        <v>44701</v>
      </c>
      <c r="B8" s="49"/>
      <c r="C8" s="50"/>
      <c r="D8" s="50"/>
      <c r="E8" s="51"/>
      <c r="F8" s="51">
        <f t="shared" si="0"/>
        <v>0</v>
      </c>
      <c r="G8" s="52" t="s">
        <v>91</v>
      </c>
      <c r="H8" s="51">
        <v>110</v>
      </c>
      <c r="I8" s="51">
        <f t="shared" si="1"/>
        <v>0</v>
      </c>
      <c r="J8" s="51" t="s">
        <v>89</v>
      </c>
      <c r="K8" s="53" t="s">
        <v>89</v>
      </c>
    </row>
    <row r="9" spans="1:11">
      <c r="A9" s="4">
        <v>44732</v>
      </c>
      <c r="B9" s="2" t="s">
        <v>97</v>
      </c>
      <c r="C9" s="1" t="s">
        <v>129</v>
      </c>
      <c r="D9" s="1">
        <v>1</v>
      </c>
      <c r="E9" s="32">
        <v>7700</v>
      </c>
      <c r="F9" s="32">
        <f t="shared" si="0"/>
        <v>7700</v>
      </c>
      <c r="G9" s="30"/>
      <c r="H9" s="32"/>
      <c r="I9" s="32">
        <f t="shared" si="1"/>
        <v>7700</v>
      </c>
      <c r="J9" s="32" t="s">
        <v>89</v>
      </c>
      <c r="K9" s="32" t="s">
        <v>89</v>
      </c>
    </row>
    <row r="10" spans="1:11">
      <c r="A10" s="48">
        <v>44762</v>
      </c>
      <c r="B10" s="49"/>
      <c r="C10" s="50"/>
      <c r="D10" s="50"/>
      <c r="E10" s="51"/>
      <c r="F10" s="51">
        <f t="shared" si="0"/>
        <v>0</v>
      </c>
      <c r="G10" s="52" t="s">
        <v>90</v>
      </c>
      <c r="H10" s="51">
        <v>7645</v>
      </c>
      <c r="I10" s="51">
        <f t="shared" si="1"/>
        <v>55</v>
      </c>
      <c r="J10" s="51" t="s">
        <v>89</v>
      </c>
      <c r="K10" s="51" t="s">
        <v>89</v>
      </c>
    </row>
    <row r="11" spans="1:11">
      <c r="A11" s="48">
        <v>44762</v>
      </c>
      <c r="B11" s="49"/>
      <c r="C11" s="50"/>
      <c r="D11" s="50"/>
      <c r="E11" s="51"/>
      <c r="F11" s="51">
        <f t="shared" si="0"/>
        <v>0</v>
      </c>
      <c r="G11" s="52" t="s">
        <v>91</v>
      </c>
      <c r="H11" s="51">
        <v>55</v>
      </c>
      <c r="I11" s="51">
        <f t="shared" si="1"/>
        <v>0</v>
      </c>
      <c r="J11" s="51" t="s">
        <v>89</v>
      </c>
      <c r="K11" s="51" t="s">
        <v>89</v>
      </c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40"/>
      <c r="F48" s="40">
        <f>SUBTOTAL(109,テーブル13121314151617181920212223242526[仕入金額])</f>
        <v>1129108</v>
      </c>
      <c r="G48" s="40"/>
      <c r="H48" s="40">
        <f>SUBTOTAL(109,テーブル13121314151617181920212223242526[支払金額])</f>
        <v>1129108</v>
      </c>
      <c r="I48" s="40">
        <f>テーブル13121314151617181920212223242526[[#Totals],[仕入金額]]-テーブル13121314151617181920212223242526[[#Totals],[支払金額]]</f>
        <v>0</v>
      </c>
      <c r="J48" s="40"/>
      <c r="K48" s="41"/>
    </row>
  </sheetData>
  <phoneticPr fontId="1"/>
  <dataValidations count="4">
    <dataValidation type="list" allowBlank="1" showInputMessage="1" showErrorMessage="1" sqref="G49:G61" xr:uid="{E896B130-E071-4FDA-9962-10415F22BE05}">
      <formula1>",合銀1,合銀,島銀,振込手数,    "</formula1>
    </dataValidation>
    <dataValidation type="list" allowBlank="1" showInputMessage="1" showErrorMessage="1" sqref="J2:K47" xr:uid="{7F3D9DB8-2C35-4BAC-8701-22A5082910AC}">
      <formula1>"  ,済"</formula1>
    </dataValidation>
    <dataValidation type="list" allowBlank="1" showInputMessage="1" showErrorMessage="1" sqref="B2:B47" xr:uid="{AA0101F7-AAC8-4FFA-9881-B47BA5028148}">
      <formula1>"田原,田中,高木,勝田,森山,市村,金築,その他"</formula1>
    </dataValidation>
    <dataValidation type="list" allowBlank="1" showInputMessage="1" showErrorMessage="1" sqref="G2:G47" xr:uid="{5ED573CE-8D2B-4C48-AD74-0DAB4BD1E38F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&amp;C日晃電設</oddHeader>
  </headerFooter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7F21D-F28E-4B24-AEDF-5625962DA8ED}">
  <sheetPr codeName="Sheet25">
    <tabColor theme="7" tint="0.39997558519241921"/>
  </sheetPr>
  <dimension ref="A1:K48"/>
  <sheetViews>
    <sheetView workbookViewId="0">
      <pane ySplit="1" topLeftCell="A2" activePane="bottomLeft" state="frozen"/>
      <selection pane="bottomLeft" activeCell="K2" sqref="K2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44762</v>
      </c>
      <c r="B2" s="2" t="s">
        <v>101</v>
      </c>
      <c r="C2" s="2"/>
      <c r="D2" s="2">
        <v>1</v>
      </c>
      <c r="E2" s="30">
        <v>137000</v>
      </c>
      <c r="F2" s="30">
        <f>D2*E2</f>
        <v>137000</v>
      </c>
      <c r="G2" s="30"/>
      <c r="H2" s="30"/>
      <c r="I2" s="30">
        <f>F2-H2</f>
        <v>137000</v>
      </c>
      <c r="J2" s="30" t="s">
        <v>89</v>
      </c>
      <c r="K2" s="5" t="s">
        <v>89</v>
      </c>
    </row>
    <row r="3" spans="1:11">
      <c r="A3" s="4"/>
      <c r="B3" s="2"/>
      <c r="C3" s="1"/>
      <c r="D3" s="1"/>
      <c r="E3" s="32"/>
      <c r="F3" s="32">
        <f t="shared" ref="F3:F47" si="0">D3*E3</f>
        <v>0</v>
      </c>
      <c r="G3" s="30"/>
      <c r="H3" s="32"/>
      <c r="I3" s="32">
        <f>I2+F3-H3</f>
        <v>137000</v>
      </c>
      <c r="J3" s="32"/>
      <c r="K3" s="5"/>
    </row>
    <row r="4" spans="1:11">
      <c r="A4" s="4"/>
      <c r="B4" s="2"/>
      <c r="C4" s="1"/>
      <c r="D4" s="1"/>
      <c r="E4" s="32"/>
      <c r="F4" s="32">
        <f t="shared" si="0"/>
        <v>0</v>
      </c>
      <c r="G4" s="30"/>
      <c r="H4" s="32"/>
      <c r="I4" s="32">
        <f t="shared" ref="I4:I47" si="1">I3+F4-H4</f>
        <v>137000</v>
      </c>
      <c r="J4" s="32"/>
      <c r="K4" s="5"/>
    </row>
    <row r="5" spans="1:11">
      <c r="A5" s="4"/>
      <c r="B5" s="2"/>
      <c r="C5" s="1"/>
      <c r="D5" s="1"/>
      <c r="E5" s="32"/>
      <c r="F5" s="32">
        <f t="shared" si="0"/>
        <v>0</v>
      </c>
      <c r="G5" s="30"/>
      <c r="H5" s="32"/>
      <c r="I5" s="32">
        <f t="shared" si="1"/>
        <v>137000</v>
      </c>
      <c r="J5" s="32"/>
      <c r="K5" s="5"/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137000</v>
      </c>
      <c r="J6" s="32"/>
      <c r="K6" s="5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137000</v>
      </c>
      <c r="J7" s="32"/>
      <c r="K7" s="5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137000</v>
      </c>
      <c r="J8" s="32"/>
      <c r="K8" s="5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137000</v>
      </c>
      <c r="J9" s="32"/>
      <c r="K9" s="5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137000</v>
      </c>
      <c r="J10" s="32"/>
      <c r="K10" s="5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137000</v>
      </c>
      <c r="J11" s="32"/>
      <c r="K11" s="5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137000</v>
      </c>
      <c r="J12" s="32"/>
      <c r="K12" s="5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137000</v>
      </c>
      <c r="J13" s="32"/>
      <c r="K13" s="5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137000</v>
      </c>
      <c r="J14" s="32"/>
      <c r="K14" s="5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137000</v>
      </c>
      <c r="J15" s="32"/>
      <c r="K15" s="5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137000</v>
      </c>
      <c r="J16" s="32"/>
      <c r="K16" s="5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137000</v>
      </c>
      <c r="J17" s="32"/>
      <c r="K17" s="5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137000</v>
      </c>
      <c r="J18" s="32"/>
      <c r="K18" s="5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137000</v>
      </c>
      <c r="J19" s="32"/>
      <c r="K19" s="5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137000</v>
      </c>
      <c r="J20" s="32"/>
      <c r="K20" s="5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137000</v>
      </c>
      <c r="J21" s="32"/>
      <c r="K21" s="5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137000</v>
      </c>
      <c r="J22" s="32"/>
      <c r="K22" s="5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137000</v>
      </c>
      <c r="J23" s="32"/>
      <c r="K23" s="5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137000</v>
      </c>
      <c r="J24" s="32"/>
      <c r="K24" s="5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137000</v>
      </c>
      <c r="J25" s="32"/>
      <c r="K25" s="5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137000</v>
      </c>
      <c r="J26" s="32"/>
      <c r="K26" s="5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137000</v>
      </c>
      <c r="J27" s="32"/>
      <c r="K27" s="5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137000</v>
      </c>
      <c r="J28" s="32"/>
      <c r="K28" s="5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137000</v>
      </c>
      <c r="J29" s="32"/>
      <c r="K29" s="5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137000</v>
      </c>
      <c r="J30" s="32"/>
      <c r="K30" s="5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137000</v>
      </c>
      <c r="J31" s="32"/>
      <c r="K31" s="5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137000</v>
      </c>
      <c r="J32" s="32"/>
      <c r="K32" s="5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137000</v>
      </c>
      <c r="J33" s="32"/>
      <c r="K33" s="5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137000</v>
      </c>
      <c r="J34" s="32"/>
      <c r="K34" s="5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137000</v>
      </c>
      <c r="J35" s="32"/>
      <c r="K35" s="5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137000</v>
      </c>
      <c r="J36" s="32"/>
      <c r="K36" s="5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137000</v>
      </c>
      <c r="J37" s="32"/>
      <c r="K37" s="5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137000</v>
      </c>
      <c r="J38" s="32"/>
      <c r="K38" s="5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137000</v>
      </c>
      <c r="J39" s="32"/>
      <c r="K39" s="5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137000</v>
      </c>
      <c r="J40" s="32"/>
      <c r="K40" s="5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137000</v>
      </c>
      <c r="J41" s="32"/>
      <c r="K41" s="5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137000</v>
      </c>
      <c r="J42" s="32"/>
      <c r="K42" s="5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137000</v>
      </c>
      <c r="J43" s="32"/>
      <c r="K43" s="5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137000</v>
      </c>
      <c r="J44" s="32"/>
      <c r="K44" s="5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137000</v>
      </c>
      <c r="J45" s="32"/>
      <c r="K45" s="5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137000</v>
      </c>
      <c r="J46" s="32"/>
      <c r="K46" s="5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137000</v>
      </c>
      <c r="J47" s="37"/>
      <c r="K47" s="11"/>
    </row>
    <row r="48" spans="1:11">
      <c r="A48" s="16" t="s">
        <v>86</v>
      </c>
      <c r="B48" s="9"/>
      <c r="C48" s="9"/>
      <c r="D48" s="9"/>
      <c r="E48" s="35"/>
      <c r="F48" s="35">
        <f>SUBTOTAL(109,テーブル131213141516171819202122232427[仕入金額])</f>
        <v>137000</v>
      </c>
      <c r="G48" s="35"/>
      <c r="H48" s="35">
        <f>SUBTOTAL(109,テーブル131213141516171819202122232427[支払金額])</f>
        <v>0</v>
      </c>
      <c r="I48" s="35">
        <f>テーブル131213141516171819202122232427[[#Totals],[仕入金額]]-テーブル131213141516171819202122232427[[#Totals],[支払金額]]</f>
        <v>137000</v>
      </c>
      <c r="J48" s="35"/>
      <c r="K48" s="17">
        <f>SUBTOTAL(103,テーブル131213141516171819202122232427[裕子])</f>
        <v>1</v>
      </c>
    </row>
  </sheetData>
  <phoneticPr fontId="1"/>
  <dataValidations count="4">
    <dataValidation type="list" allowBlank="1" showInputMessage="1" showErrorMessage="1" sqref="G2:G47" xr:uid="{0576BE82-620E-421C-89FC-3037353D7A0E}">
      <formula1>",合銀1,合銀,島銀,現金,振込手数,値引"</formula1>
    </dataValidation>
    <dataValidation type="list" allowBlank="1" showInputMessage="1" showErrorMessage="1" sqref="B2:B47" xr:uid="{FCC1E80A-7B9E-4D8A-BBFB-FB3948BB15A5}">
      <formula1>"田原,田中,高木,勝田,森山,市村,金築,その他"</formula1>
    </dataValidation>
    <dataValidation type="list" allowBlank="1" showInputMessage="1" showErrorMessage="1" sqref="J2:K47" xr:uid="{094A20AA-8D19-450A-80C2-7A7F17C9A41C}">
      <formula1>"  ,済"</formula1>
    </dataValidation>
    <dataValidation type="list" allowBlank="1" showInputMessage="1" showErrorMessage="1" sqref="G49:G61" xr:uid="{0816D534-77FB-444F-8FF3-674F8F0EC2B7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&amp;Cバーンフィールド</oddHeader>
  </headerFooter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F94BF-402B-4E5F-A298-249ECA9FC9C9}">
  <sheetPr codeName="Sheet26">
    <tabColor theme="7" tint="0.39997558519241921"/>
  </sheetPr>
  <dimension ref="A1:K48"/>
  <sheetViews>
    <sheetView workbookViewId="0">
      <pane ySplit="1" topLeftCell="A2" activePane="bottomLeft" state="frozen"/>
      <selection pane="bottomLeft" activeCell="N15" sqref="N15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/>
      <c r="D2" s="2"/>
      <c r="E2" s="2"/>
      <c r="F2" s="2">
        <f>D2*E2</f>
        <v>0</v>
      </c>
      <c r="G2" s="2"/>
      <c r="H2" s="2"/>
      <c r="I2" s="2">
        <f>F2-H2</f>
        <v>0</v>
      </c>
      <c r="J2" s="2"/>
      <c r="K2" s="5"/>
    </row>
    <row r="3" spans="1:11">
      <c r="A3" s="4"/>
      <c r="B3" s="2"/>
      <c r="C3" s="1"/>
      <c r="D3" s="1"/>
      <c r="E3" s="1"/>
      <c r="F3" s="1">
        <f t="shared" ref="F3:F47" si="0">D3*E3</f>
        <v>0</v>
      </c>
      <c r="G3" s="2"/>
      <c r="H3" s="1"/>
      <c r="I3" s="1">
        <f>I2+F3-H3</f>
        <v>0</v>
      </c>
      <c r="J3" s="1"/>
      <c r="K3" s="5"/>
    </row>
    <row r="4" spans="1:11">
      <c r="A4" s="4"/>
      <c r="B4" s="2"/>
      <c r="C4" s="1"/>
      <c r="D4" s="1"/>
      <c r="E4" s="1"/>
      <c r="F4" s="1">
        <f t="shared" si="0"/>
        <v>0</v>
      </c>
      <c r="G4" s="2"/>
      <c r="H4" s="1"/>
      <c r="I4" s="1">
        <f t="shared" ref="I4:I47" si="1">I3+F4-H4</f>
        <v>0</v>
      </c>
      <c r="J4" s="1"/>
      <c r="K4" s="5"/>
    </row>
    <row r="5" spans="1:11">
      <c r="A5" s="4"/>
      <c r="B5" s="2"/>
      <c r="C5" s="1"/>
      <c r="D5" s="1"/>
      <c r="E5" s="1"/>
      <c r="F5" s="1">
        <f t="shared" si="0"/>
        <v>0</v>
      </c>
      <c r="G5" s="2"/>
      <c r="H5" s="1"/>
      <c r="I5" s="1">
        <f t="shared" si="1"/>
        <v>0</v>
      </c>
      <c r="J5" s="1"/>
      <c r="K5" s="5"/>
    </row>
    <row r="6" spans="1:11">
      <c r="A6" s="4"/>
      <c r="B6" s="2"/>
      <c r="C6" s="1"/>
      <c r="D6" s="1"/>
      <c r="E6" s="1"/>
      <c r="F6" s="1">
        <f t="shared" si="0"/>
        <v>0</v>
      </c>
      <c r="G6" s="2"/>
      <c r="H6" s="1"/>
      <c r="I6" s="1">
        <f t="shared" si="1"/>
        <v>0</v>
      </c>
      <c r="J6" s="1"/>
      <c r="K6" s="5"/>
    </row>
    <row r="7" spans="1:11">
      <c r="A7" s="4"/>
      <c r="B7" s="2"/>
      <c r="C7" s="1"/>
      <c r="D7" s="1"/>
      <c r="E7" s="1"/>
      <c r="F7" s="1">
        <f t="shared" si="0"/>
        <v>0</v>
      </c>
      <c r="G7" s="2"/>
      <c r="H7" s="1"/>
      <c r="I7" s="1">
        <f t="shared" si="1"/>
        <v>0</v>
      </c>
      <c r="J7" s="1"/>
      <c r="K7" s="5"/>
    </row>
    <row r="8" spans="1:11">
      <c r="A8" s="4"/>
      <c r="B8" s="2"/>
      <c r="C8" s="1"/>
      <c r="D8" s="1"/>
      <c r="E8" s="1"/>
      <c r="F8" s="1">
        <f t="shared" si="0"/>
        <v>0</v>
      </c>
      <c r="G8" s="2"/>
      <c r="H8" s="1"/>
      <c r="I8" s="1">
        <f t="shared" si="1"/>
        <v>0</v>
      </c>
      <c r="J8" s="1"/>
      <c r="K8" s="5"/>
    </row>
    <row r="9" spans="1:11">
      <c r="A9" s="4"/>
      <c r="B9" s="2"/>
      <c r="C9" s="1"/>
      <c r="D9" s="1"/>
      <c r="E9" s="1"/>
      <c r="F9" s="1">
        <f t="shared" si="0"/>
        <v>0</v>
      </c>
      <c r="G9" s="2"/>
      <c r="H9" s="1"/>
      <c r="I9" s="1">
        <f t="shared" si="1"/>
        <v>0</v>
      </c>
      <c r="J9" s="1"/>
      <c r="K9" s="5"/>
    </row>
    <row r="10" spans="1:11">
      <c r="A10" s="4"/>
      <c r="B10" s="2"/>
      <c r="C10" s="1"/>
      <c r="D10" s="1"/>
      <c r="E10" s="1"/>
      <c r="F10" s="1">
        <f t="shared" si="0"/>
        <v>0</v>
      </c>
      <c r="G10" s="2"/>
      <c r="H10" s="1"/>
      <c r="I10" s="1">
        <f t="shared" si="1"/>
        <v>0</v>
      </c>
      <c r="J10" s="1"/>
      <c r="K10" s="5"/>
    </row>
    <row r="11" spans="1:11">
      <c r="A11" s="4"/>
      <c r="B11" s="2"/>
      <c r="C11" s="1"/>
      <c r="D11" s="1"/>
      <c r="E11" s="1"/>
      <c r="F11" s="1">
        <f t="shared" si="0"/>
        <v>0</v>
      </c>
      <c r="G11" s="2"/>
      <c r="H11" s="1"/>
      <c r="I11" s="1">
        <f t="shared" si="1"/>
        <v>0</v>
      </c>
      <c r="J11" s="1"/>
      <c r="K11" s="5"/>
    </row>
    <row r="12" spans="1:11">
      <c r="A12" s="4"/>
      <c r="B12" s="2"/>
      <c r="C12" s="1"/>
      <c r="D12" s="1"/>
      <c r="E12" s="1"/>
      <c r="F12" s="1">
        <f t="shared" si="0"/>
        <v>0</v>
      </c>
      <c r="G12" s="2"/>
      <c r="H12" s="1"/>
      <c r="I12" s="1">
        <f t="shared" si="1"/>
        <v>0</v>
      </c>
      <c r="J12" s="1"/>
      <c r="K12" s="5"/>
    </row>
    <row r="13" spans="1:11">
      <c r="A13" s="4"/>
      <c r="B13" s="2"/>
      <c r="C13" s="1"/>
      <c r="D13" s="1"/>
      <c r="E13" s="1"/>
      <c r="F13" s="1">
        <f t="shared" si="0"/>
        <v>0</v>
      </c>
      <c r="G13" s="2"/>
      <c r="H13" s="1"/>
      <c r="I13" s="1">
        <f t="shared" si="1"/>
        <v>0</v>
      </c>
      <c r="J13" s="1"/>
      <c r="K13" s="5"/>
    </row>
    <row r="14" spans="1:11">
      <c r="A14" s="4"/>
      <c r="B14" s="2"/>
      <c r="C14" s="1"/>
      <c r="D14" s="1"/>
      <c r="E14" s="1"/>
      <c r="F14" s="1">
        <f t="shared" si="0"/>
        <v>0</v>
      </c>
      <c r="G14" s="2"/>
      <c r="H14" s="1"/>
      <c r="I14" s="1">
        <f t="shared" si="1"/>
        <v>0</v>
      </c>
      <c r="J14" s="1"/>
      <c r="K14" s="5"/>
    </row>
    <row r="15" spans="1:11">
      <c r="A15" s="4"/>
      <c r="B15" s="2"/>
      <c r="C15" s="1"/>
      <c r="D15" s="1"/>
      <c r="E15" s="1"/>
      <c r="F15" s="1">
        <f t="shared" si="0"/>
        <v>0</v>
      </c>
      <c r="G15" s="2"/>
      <c r="H15" s="1"/>
      <c r="I15" s="1">
        <f t="shared" si="1"/>
        <v>0</v>
      </c>
      <c r="J15" s="1"/>
      <c r="K15" s="5"/>
    </row>
    <row r="16" spans="1:11">
      <c r="A16" s="4"/>
      <c r="B16" s="2"/>
      <c r="C16" s="1"/>
      <c r="D16" s="1"/>
      <c r="E16" s="1"/>
      <c r="F16" s="1">
        <f t="shared" si="0"/>
        <v>0</v>
      </c>
      <c r="G16" s="2"/>
      <c r="H16" s="1"/>
      <c r="I16" s="1">
        <f t="shared" si="1"/>
        <v>0</v>
      </c>
      <c r="J16" s="1"/>
      <c r="K16" s="5"/>
    </row>
    <row r="17" spans="1:11">
      <c r="A17" s="4"/>
      <c r="B17" s="2"/>
      <c r="C17" s="1"/>
      <c r="D17" s="1"/>
      <c r="E17" s="1"/>
      <c r="F17" s="1">
        <f t="shared" si="0"/>
        <v>0</v>
      </c>
      <c r="G17" s="2"/>
      <c r="H17" s="1"/>
      <c r="I17" s="1">
        <f t="shared" si="1"/>
        <v>0</v>
      </c>
      <c r="J17" s="1"/>
      <c r="K17" s="5"/>
    </row>
    <row r="18" spans="1:11">
      <c r="A18" s="4"/>
      <c r="B18" s="2"/>
      <c r="C18" s="1"/>
      <c r="D18" s="1"/>
      <c r="E18" s="1"/>
      <c r="F18" s="1">
        <f t="shared" si="0"/>
        <v>0</v>
      </c>
      <c r="G18" s="2"/>
      <c r="H18" s="1"/>
      <c r="I18" s="1">
        <f t="shared" si="1"/>
        <v>0</v>
      </c>
      <c r="J18" s="1"/>
      <c r="K18" s="5"/>
    </row>
    <row r="19" spans="1:11">
      <c r="A19" s="4"/>
      <c r="B19" s="2"/>
      <c r="C19" s="1"/>
      <c r="D19" s="1"/>
      <c r="E19" s="1"/>
      <c r="F19" s="1">
        <f t="shared" si="0"/>
        <v>0</v>
      </c>
      <c r="G19" s="2"/>
      <c r="H19" s="1"/>
      <c r="I19" s="1">
        <f t="shared" si="1"/>
        <v>0</v>
      </c>
      <c r="J19" s="1"/>
      <c r="K19" s="5"/>
    </row>
    <row r="20" spans="1:11">
      <c r="A20" s="4"/>
      <c r="B20" s="2"/>
      <c r="C20" s="1"/>
      <c r="D20" s="1"/>
      <c r="E20" s="1"/>
      <c r="F20" s="1">
        <f t="shared" si="0"/>
        <v>0</v>
      </c>
      <c r="G20" s="2"/>
      <c r="H20" s="1"/>
      <c r="I20" s="1">
        <f t="shared" si="1"/>
        <v>0</v>
      </c>
      <c r="J20" s="1"/>
      <c r="K20" s="5"/>
    </row>
    <row r="21" spans="1:11">
      <c r="A21" s="4"/>
      <c r="B21" s="2"/>
      <c r="C21" s="1"/>
      <c r="D21" s="1"/>
      <c r="E21" s="1"/>
      <c r="F21" s="1">
        <f t="shared" si="0"/>
        <v>0</v>
      </c>
      <c r="G21" s="2"/>
      <c r="H21" s="1"/>
      <c r="I21" s="1">
        <f t="shared" si="1"/>
        <v>0</v>
      </c>
      <c r="J21" s="1"/>
      <c r="K21" s="5"/>
    </row>
    <row r="22" spans="1:11">
      <c r="A22" s="4"/>
      <c r="B22" s="2"/>
      <c r="C22" s="1"/>
      <c r="D22" s="1"/>
      <c r="E22" s="1"/>
      <c r="F22" s="1">
        <f t="shared" si="0"/>
        <v>0</v>
      </c>
      <c r="G22" s="2"/>
      <c r="H22" s="1"/>
      <c r="I22" s="1">
        <f t="shared" si="1"/>
        <v>0</v>
      </c>
      <c r="J22" s="1"/>
      <c r="K22" s="5"/>
    </row>
    <row r="23" spans="1:11">
      <c r="A23" s="4"/>
      <c r="B23" s="2"/>
      <c r="C23" s="1"/>
      <c r="D23" s="1"/>
      <c r="E23" s="1"/>
      <c r="F23" s="1">
        <f t="shared" si="0"/>
        <v>0</v>
      </c>
      <c r="G23" s="2"/>
      <c r="H23" s="1"/>
      <c r="I23" s="1">
        <f t="shared" si="1"/>
        <v>0</v>
      </c>
      <c r="J23" s="1"/>
      <c r="K23" s="5"/>
    </row>
    <row r="24" spans="1:11">
      <c r="A24" s="4"/>
      <c r="B24" s="2"/>
      <c r="C24" s="1"/>
      <c r="D24" s="1"/>
      <c r="E24" s="1"/>
      <c r="F24" s="1">
        <f t="shared" si="0"/>
        <v>0</v>
      </c>
      <c r="G24" s="2"/>
      <c r="H24" s="1"/>
      <c r="I24" s="1">
        <f t="shared" si="1"/>
        <v>0</v>
      </c>
      <c r="J24" s="1"/>
      <c r="K24" s="5"/>
    </row>
    <row r="25" spans="1:11">
      <c r="A25" s="4"/>
      <c r="B25" s="2"/>
      <c r="C25" s="1"/>
      <c r="D25" s="1"/>
      <c r="E25" s="1"/>
      <c r="F25" s="1">
        <f t="shared" si="0"/>
        <v>0</v>
      </c>
      <c r="G25" s="2"/>
      <c r="H25" s="1"/>
      <c r="I25" s="1">
        <f t="shared" si="1"/>
        <v>0</v>
      </c>
      <c r="J25" s="1"/>
      <c r="K25" s="5"/>
    </row>
    <row r="26" spans="1:11">
      <c r="A26" s="4"/>
      <c r="B26" s="2"/>
      <c r="C26" s="1"/>
      <c r="D26" s="1"/>
      <c r="E26" s="1"/>
      <c r="F26" s="1">
        <f t="shared" si="0"/>
        <v>0</v>
      </c>
      <c r="G26" s="2"/>
      <c r="H26" s="1"/>
      <c r="I26" s="1">
        <f t="shared" si="1"/>
        <v>0</v>
      </c>
      <c r="J26" s="1"/>
      <c r="K26" s="5"/>
    </row>
    <row r="27" spans="1:11">
      <c r="A27" s="4"/>
      <c r="B27" s="2"/>
      <c r="C27" s="1"/>
      <c r="D27" s="1"/>
      <c r="E27" s="1"/>
      <c r="F27" s="1">
        <f t="shared" si="0"/>
        <v>0</v>
      </c>
      <c r="G27" s="2"/>
      <c r="H27" s="1"/>
      <c r="I27" s="1">
        <f t="shared" si="1"/>
        <v>0</v>
      </c>
      <c r="J27" s="1"/>
      <c r="K27" s="5"/>
    </row>
    <row r="28" spans="1:11">
      <c r="A28" s="4"/>
      <c r="B28" s="2"/>
      <c r="C28" s="1"/>
      <c r="D28" s="1"/>
      <c r="E28" s="1"/>
      <c r="F28" s="1">
        <f t="shared" si="0"/>
        <v>0</v>
      </c>
      <c r="G28" s="2"/>
      <c r="H28" s="1"/>
      <c r="I28" s="1">
        <f t="shared" si="1"/>
        <v>0</v>
      </c>
      <c r="J28" s="1"/>
      <c r="K28" s="5"/>
    </row>
    <row r="29" spans="1:11">
      <c r="A29" s="4"/>
      <c r="B29" s="2"/>
      <c r="C29" s="1"/>
      <c r="D29" s="1"/>
      <c r="E29" s="1"/>
      <c r="F29" s="1">
        <f t="shared" si="0"/>
        <v>0</v>
      </c>
      <c r="G29" s="2"/>
      <c r="H29" s="1"/>
      <c r="I29" s="1">
        <f t="shared" si="1"/>
        <v>0</v>
      </c>
      <c r="J29" s="1"/>
      <c r="K29" s="5"/>
    </row>
    <row r="30" spans="1:11">
      <c r="A30" s="4"/>
      <c r="B30" s="2"/>
      <c r="C30" s="1"/>
      <c r="D30" s="1"/>
      <c r="E30" s="1"/>
      <c r="F30" s="1">
        <f t="shared" si="0"/>
        <v>0</v>
      </c>
      <c r="G30" s="2"/>
      <c r="H30" s="1"/>
      <c r="I30" s="1">
        <f t="shared" si="1"/>
        <v>0</v>
      </c>
      <c r="J30" s="1"/>
      <c r="K30" s="5"/>
    </row>
    <row r="31" spans="1:11">
      <c r="A31" s="4"/>
      <c r="B31" s="2"/>
      <c r="C31" s="1"/>
      <c r="D31" s="1"/>
      <c r="E31" s="1"/>
      <c r="F31" s="1">
        <f t="shared" si="0"/>
        <v>0</v>
      </c>
      <c r="G31" s="2"/>
      <c r="H31" s="1"/>
      <c r="I31" s="1">
        <f t="shared" si="1"/>
        <v>0</v>
      </c>
      <c r="J31" s="1"/>
      <c r="K31" s="5"/>
    </row>
    <row r="32" spans="1:11">
      <c r="A32" s="4"/>
      <c r="B32" s="2"/>
      <c r="C32" s="1"/>
      <c r="D32" s="1"/>
      <c r="E32" s="1"/>
      <c r="F32" s="1">
        <f t="shared" si="0"/>
        <v>0</v>
      </c>
      <c r="G32" s="2"/>
      <c r="H32" s="1"/>
      <c r="I32" s="1">
        <f t="shared" si="1"/>
        <v>0</v>
      </c>
      <c r="J32" s="1"/>
      <c r="K32" s="5"/>
    </row>
    <row r="33" spans="1:11">
      <c r="A33" s="4"/>
      <c r="B33" s="2"/>
      <c r="C33" s="1"/>
      <c r="D33" s="1"/>
      <c r="E33" s="1"/>
      <c r="F33" s="1">
        <f t="shared" si="0"/>
        <v>0</v>
      </c>
      <c r="G33" s="2"/>
      <c r="H33" s="1"/>
      <c r="I33" s="1">
        <f t="shared" si="1"/>
        <v>0</v>
      </c>
      <c r="J33" s="1"/>
      <c r="K33" s="5"/>
    </row>
    <row r="34" spans="1:11">
      <c r="A34" s="4"/>
      <c r="B34" s="2"/>
      <c r="C34" s="1"/>
      <c r="D34" s="1"/>
      <c r="E34" s="1"/>
      <c r="F34" s="1">
        <f t="shared" si="0"/>
        <v>0</v>
      </c>
      <c r="G34" s="2"/>
      <c r="H34" s="1"/>
      <c r="I34" s="1">
        <f t="shared" si="1"/>
        <v>0</v>
      </c>
      <c r="J34" s="1"/>
      <c r="K34" s="5"/>
    </row>
    <row r="35" spans="1:11">
      <c r="A35" s="4"/>
      <c r="B35" s="2"/>
      <c r="C35" s="1"/>
      <c r="D35" s="1"/>
      <c r="E35" s="1"/>
      <c r="F35" s="1">
        <f t="shared" si="0"/>
        <v>0</v>
      </c>
      <c r="G35" s="2"/>
      <c r="H35" s="1"/>
      <c r="I35" s="1">
        <f t="shared" si="1"/>
        <v>0</v>
      </c>
      <c r="J35" s="1"/>
      <c r="K35" s="5"/>
    </row>
    <row r="36" spans="1:11">
      <c r="A36" s="4"/>
      <c r="B36" s="2"/>
      <c r="C36" s="1"/>
      <c r="D36" s="1"/>
      <c r="E36" s="1"/>
      <c r="F36" s="1">
        <f t="shared" si="0"/>
        <v>0</v>
      </c>
      <c r="G36" s="2"/>
      <c r="H36" s="1"/>
      <c r="I36" s="1">
        <f t="shared" si="1"/>
        <v>0</v>
      </c>
      <c r="J36" s="1"/>
      <c r="K36" s="5"/>
    </row>
    <row r="37" spans="1:11">
      <c r="A37" s="4"/>
      <c r="B37" s="2"/>
      <c r="C37" s="1"/>
      <c r="D37" s="1"/>
      <c r="E37" s="1"/>
      <c r="F37" s="1">
        <f t="shared" si="0"/>
        <v>0</v>
      </c>
      <c r="G37" s="2"/>
      <c r="H37" s="1"/>
      <c r="I37" s="1">
        <f t="shared" si="1"/>
        <v>0</v>
      </c>
      <c r="J37" s="1"/>
      <c r="K37" s="5"/>
    </row>
    <row r="38" spans="1:11">
      <c r="A38" s="4"/>
      <c r="B38" s="2"/>
      <c r="C38" s="1"/>
      <c r="D38" s="1"/>
      <c r="E38" s="1"/>
      <c r="F38" s="1">
        <f t="shared" si="0"/>
        <v>0</v>
      </c>
      <c r="G38" s="2"/>
      <c r="H38" s="1"/>
      <c r="I38" s="1">
        <f t="shared" si="1"/>
        <v>0</v>
      </c>
      <c r="J38" s="1"/>
      <c r="K38" s="5"/>
    </row>
    <row r="39" spans="1:11">
      <c r="A39" s="4"/>
      <c r="B39" s="2"/>
      <c r="C39" s="1"/>
      <c r="D39" s="1"/>
      <c r="E39" s="1"/>
      <c r="F39" s="1">
        <f t="shared" si="0"/>
        <v>0</v>
      </c>
      <c r="G39" s="2"/>
      <c r="H39" s="1"/>
      <c r="I39" s="1">
        <f t="shared" si="1"/>
        <v>0</v>
      </c>
      <c r="J39" s="1"/>
      <c r="K39" s="5"/>
    </row>
    <row r="40" spans="1:11">
      <c r="A40" s="4"/>
      <c r="B40" s="2"/>
      <c r="C40" s="1"/>
      <c r="D40" s="1"/>
      <c r="E40" s="1"/>
      <c r="F40" s="1">
        <f t="shared" si="0"/>
        <v>0</v>
      </c>
      <c r="G40" s="2"/>
      <c r="H40" s="1"/>
      <c r="I40" s="1">
        <f t="shared" si="1"/>
        <v>0</v>
      </c>
      <c r="J40" s="1"/>
      <c r="K40" s="5"/>
    </row>
    <row r="41" spans="1:11">
      <c r="A41" s="4"/>
      <c r="B41" s="2"/>
      <c r="C41" s="1"/>
      <c r="D41" s="1"/>
      <c r="E41" s="1"/>
      <c r="F41" s="1">
        <f t="shared" si="0"/>
        <v>0</v>
      </c>
      <c r="G41" s="2"/>
      <c r="H41" s="1"/>
      <c r="I41" s="1">
        <f t="shared" si="1"/>
        <v>0</v>
      </c>
      <c r="J41" s="1"/>
      <c r="K41" s="5"/>
    </row>
    <row r="42" spans="1:11">
      <c r="A42" s="4"/>
      <c r="B42" s="2"/>
      <c r="C42" s="1"/>
      <c r="D42" s="1"/>
      <c r="E42" s="1"/>
      <c r="F42" s="1">
        <f t="shared" si="0"/>
        <v>0</v>
      </c>
      <c r="G42" s="2"/>
      <c r="H42" s="1"/>
      <c r="I42" s="1">
        <f t="shared" si="1"/>
        <v>0</v>
      </c>
      <c r="J42" s="1"/>
      <c r="K42" s="5"/>
    </row>
    <row r="43" spans="1:11">
      <c r="A43" s="4"/>
      <c r="B43" s="2"/>
      <c r="C43" s="1"/>
      <c r="D43" s="1"/>
      <c r="E43" s="1"/>
      <c r="F43" s="1">
        <f>D43*E43</f>
        <v>0</v>
      </c>
      <c r="G43" s="2"/>
      <c r="H43" s="1"/>
      <c r="I43" s="1">
        <f>I42+F43-H43</f>
        <v>0</v>
      </c>
      <c r="J43" s="1"/>
      <c r="K43" s="5"/>
    </row>
    <row r="44" spans="1:11">
      <c r="A44" s="4"/>
      <c r="B44" s="2"/>
      <c r="C44" s="1"/>
      <c r="D44" s="1"/>
      <c r="E44" s="1"/>
      <c r="F44" s="1">
        <f>D44*E44</f>
        <v>0</v>
      </c>
      <c r="G44" s="2"/>
      <c r="H44" s="1"/>
      <c r="I44" s="1">
        <f>I43+F44-H44</f>
        <v>0</v>
      </c>
      <c r="J44" s="1"/>
      <c r="K44" s="5"/>
    </row>
    <row r="45" spans="1:11">
      <c r="A45" s="4"/>
      <c r="B45" s="2"/>
      <c r="C45" s="1"/>
      <c r="D45" s="1"/>
      <c r="E45" s="1"/>
      <c r="F45" s="1">
        <f>D45*E45</f>
        <v>0</v>
      </c>
      <c r="G45" s="2"/>
      <c r="H45" s="1"/>
      <c r="I45" s="1">
        <f>I44+F45-H45</f>
        <v>0</v>
      </c>
      <c r="J45" s="1"/>
      <c r="K45" s="5"/>
    </row>
    <row r="46" spans="1:11">
      <c r="A46" s="4"/>
      <c r="B46" s="2"/>
      <c r="C46" s="1"/>
      <c r="D46" s="1"/>
      <c r="E46" s="1"/>
      <c r="F46" s="1">
        <f t="shared" si="0"/>
        <v>0</v>
      </c>
      <c r="G46" s="2"/>
      <c r="H46" s="1"/>
      <c r="I46" s="1">
        <f>I45+F46-H46</f>
        <v>0</v>
      </c>
      <c r="J46" s="1"/>
      <c r="K46" s="5"/>
    </row>
    <row r="47" spans="1:11">
      <c r="A47" s="8"/>
      <c r="B47" s="9"/>
      <c r="C47" s="10"/>
      <c r="D47" s="10"/>
      <c r="E47" s="10"/>
      <c r="F47" s="10">
        <f t="shared" si="0"/>
        <v>0</v>
      </c>
      <c r="G47" s="2"/>
      <c r="H47" s="10"/>
      <c r="I47" s="10">
        <f t="shared" si="1"/>
        <v>0</v>
      </c>
      <c r="J47" s="10"/>
      <c r="K47" s="11"/>
    </row>
    <row r="48" spans="1:11">
      <c r="A48" s="16" t="s">
        <v>86</v>
      </c>
      <c r="B48" s="9"/>
      <c r="C48" s="9"/>
      <c r="D48" s="9"/>
      <c r="E48" s="9"/>
      <c r="F48" s="9">
        <f>SUBTOTAL(109,テーブル1312131415161718192021222324[仕入金額])</f>
        <v>0</v>
      </c>
      <c r="G48" s="9"/>
      <c r="H48" s="9">
        <f>SUBTOTAL(109,テーブル1312131415161718192021222324[支払金額])</f>
        <v>0</v>
      </c>
      <c r="I48" s="9">
        <f>テーブル1312131415161718192021222324[[#Totals],[仕入金額]]-テーブル1312131415161718192021222324[[#Totals],[支払金額]]</f>
        <v>0</v>
      </c>
      <c r="J48" s="9"/>
      <c r="K48" s="17">
        <f>SUBTOTAL(103,テーブル1312131415161718192021222324[裕子])</f>
        <v>0</v>
      </c>
    </row>
  </sheetData>
  <phoneticPr fontId="1"/>
  <dataValidations count="4">
    <dataValidation type="list" allowBlank="1" showInputMessage="1" showErrorMessage="1" sqref="G49:G61" xr:uid="{C7A94395-D4BE-4B91-9D71-82A27E2FB4C3}">
      <formula1>",合銀1,合銀,島銀,振込手数,    "</formula1>
    </dataValidation>
    <dataValidation type="list" allowBlank="1" showInputMessage="1" showErrorMessage="1" sqref="J2:K47" xr:uid="{4BE17FC7-5C42-424A-85AF-D37ABE271866}">
      <formula1>"  ,済"</formula1>
    </dataValidation>
    <dataValidation type="list" allowBlank="1" showInputMessage="1" showErrorMessage="1" sqref="B2:B47" xr:uid="{F4DD1751-6F18-437E-AC10-2F39696AD641}">
      <formula1>"田原,田中,高木,勝田,森山,市村,金築,その他"</formula1>
    </dataValidation>
    <dataValidation type="list" allowBlank="1" showInputMessage="1" showErrorMessage="1" sqref="G2:G47" xr:uid="{E3D9A41C-3CF0-4F5D-88D1-71BA057A2DCF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&amp;C早見木工</oddHeader>
  </headerFooter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700D6-D913-418A-A67E-4CD5C0A39C2C}">
  <sheetPr codeName="Sheet27">
    <tabColor theme="7" tint="0.39997558519241921"/>
  </sheetPr>
  <dimension ref="A1:L48"/>
  <sheetViews>
    <sheetView workbookViewId="0">
      <pane ySplit="1" topLeftCell="A2" activePane="bottomLeft" state="frozen"/>
      <selection pane="bottomLeft" activeCell="L5" sqref="L5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2">
      <c r="A2" s="3">
        <v>44701</v>
      </c>
      <c r="B2" s="2" t="s">
        <v>101</v>
      </c>
      <c r="C2" s="2"/>
      <c r="D2" s="2">
        <v>1</v>
      </c>
      <c r="E2" s="30">
        <v>48400</v>
      </c>
      <c r="F2" s="30">
        <f>D2*E2</f>
        <v>48400</v>
      </c>
      <c r="G2" s="30"/>
      <c r="H2" s="30"/>
      <c r="I2" s="30">
        <f>F2-H2</f>
        <v>48400</v>
      </c>
      <c r="J2" s="30" t="s">
        <v>89</v>
      </c>
      <c r="K2" s="31" t="s">
        <v>89</v>
      </c>
      <c r="L2" s="39"/>
    </row>
    <row r="3" spans="1:12">
      <c r="A3" s="48">
        <v>44732</v>
      </c>
      <c r="B3" s="49"/>
      <c r="C3" s="50"/>
      <c r="D3" s="50"/>
      <c r="E3" s="51"/>
      <c r="F3" s="51">
        <f t="shared" ref="F3:F47" si="0">D3*E3</f>
        <v>0</v>
      </c>
      <c r="G3" s="52" t="s">
        <v>40</v>
      </c>
      <c r="H3" s="51">
        <v>48000</v>
      </c>
      <c r="I3" s="51">
        <f>I2+F3-H3</f>
        <v>400</v>
      </c>
      <c r="J3" s="51" t="s">
        <v>89</v>
      </c>
      <c r="K3" s="53" t="s">
        <v>89</v>
      </c>
      <c r="L3" s="39"/>
    </row>
    <row r="4" spans="1:12">
      <c r="A4" s="48">
        <v>44732</v>
      </c>
      <c r="B4" s="49"/>
      <c r="C4" s="50"/>
      <c r="D4" s="50"/>
      <c r="E4" s="51"/>
      <c r="F4" s="51">
        <f t="shared" si="0"/>
        <v>0</v>
      </c>
      <c r="G4" s="52" t="s">
        <v>130</v>
      </c>
      <c r="H4" s="51">
        <v>400</v>
      </c>
      <c r="I4" s="51">
        <f t="shared" ref="I4:I47" si="1">I3+F4-H4</f>
        <v>0</v>
      </c>
      <c r="J4" s="51" t="s">
        <v>89</v>
      </c>
      <c r="K4" s="53" t="s">
        <v>89</v>
      </c>
      <c r="L4" s="39"/>
    </row>
    <row r="5" spans="1:12">
      <c r="A5" s="4"/>
      <c r="B5" s="2"/>
      <c r="C5" s="1"/>
      <c r="D5" s="1"/>
      <c r="E5" s="32"/>
      <c r="F5" s="32">
        <f t="shared" si="0"/>
        <v>0</v>
      </c>
      <c r="G5" s="30"/>
      <c r="H5" s="32"/>
      <c r="I5" s="32">
        <f t="shared" si="1"/>
        <v>0</v>
      </c>
      <c r="J5" s="32"/>
      <c r="K5" s="31"/>
      <c r="L5" s="39"/>
    </row>
    <row r="6" spans="1:12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  <c r="L6" s="39"/>
    </row>
    <row r="7" spans="1:12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  <c r="L7" s="39"/>
    </row>
    <row r="8" spans="1:12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  <c r="L8" s="39"/>
    </row>
    <row r="9" spans="1:12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  <c r="L9" s="39"/>
    </row>
    <row r="10" spans="1:12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  <c r="L10" s="39"/>
    </row>
    <row r="11" spans="1:12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  <c r="L11" s="39"/>
    </row>
    <row r="12" spans="1:12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  <c r="L12" s="39"/>
    </row>
    <row r="13" spans="1:12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  <c r="L13" s="39"/>
    </row>
    <row r="14" spans="1:12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  <c r="L14" s="39"/>
    </row>
    <row r="15" spans="1:12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  <c r="L15" s="39"/>
    </row>
    <row r="16" spans="1:12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  <c r="L16" s="39"/>
    </row>
    <row r="17" spans="1:12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  <c r="L17" s="39"/>
    </row>
    <row r="18" spans="1:12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  <c r="L18" s="39"/>
    </row>
    <row r="19" spans="1:12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  <c r="L19" s="39"/>
    </row>
    <row r="20" spans="1:12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  <c r="L20" s="39"/>
    </row>
    <row r="21" spans="1:12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  <c r="L21" s="39"/>
    </row>
    <row r="22" spans="1:12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  <c r="L22" s="39"/>
    </row>
    <row r="23" spans="1:12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  <c r="L23" s="39"/>
    </row>
    <row r="24" spans="1:12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  <c r="L24" s="39"/>
    </row>
    <row r="25" spans="1:12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  <c r="L25" s="39"/>
    </row>
    <row r="26" spans="1:12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  <c r="L26" s="39"/>
    </row>
    <row r="27" spans="1:12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  <c r="L27" s="39"/>
    </row>
    <row r="28" spans="1:12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  <c r="L28" s="39"/>
    </row>
    <row r="29" spans="1:12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  <c r="L29" s="39"/>
    </row>
    <row r="30" spans="1:12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  <c r="L30" s="39"/>
    </row>
    <row r="31" spans="1:12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  <c r="L31" s="39"/>
    </row>
    <row r="32" spans="1:12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  <c r="L32" s="39"/>
    </row>
    <row r="33" spans="1:12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  <c r="L33" s="39"/>
    </row>
    <row r="34" spans="1:12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  <c r="L34" s="39"/>
    </row>
    <row r="35" spans="1:12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  <c r="L35" s="39"/>
    </row>
    <row r="36" spans="1:12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  <c r="L36" s="39"/>
    </row>
    <row r="37" spans="1:12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  <c r="L37" s="39"/>
    </row>
    <row r="38" spans="1:12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  <c r="L38" s="39"/>
    </row>
    <row r="39" spans="1:12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  <c r="L39" s="39"/>
    </row>
    <row r="40" spans="1:12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  <c r="L40" s="39"/>
    </row>
    <row r="41" spans="1:12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  <c r="L41" s="39"/>
    </row>
    <row r="42" spans="1:12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  <c r="L42" s="39"/>
    </row>
    <row r="43" spans="1:12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  <c r="L43" s="39"/>
    </row>
    <row r="44" spans="1:12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  <c r="L44" s="39"/>
    </row>
    <row r="45" spans="1:12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  <c r="L45" s="39"/>
    </row>
    <row r="46" spans="1:12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  <c r="L46" s="39"/>
    </row>
    <row r="47" spans="1:12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  <c r="L47" s="39"/>
    </row>
    <row r="48" spans="1:12">
      <c r="A48" s="16" t="s">
        <v>86</v>
      </c>
      <c r="B48" s="9"/>
      <c r="C48" s="9"/>
      <c r="D48" s="9"/>
      <c r="E48" s="40"/>
      <c r="F48" s="40">
        <f>SUBTOTAL(109,テーブル13121314151617181920212223242728[仕入金額])</f>
        <v>48400</v>
      </c>
      <c r="G48" s="40"/>
      <c r="H48" s="40">
        <f>SUBTOTAL(109,テーブル13121314151617181920212223242728[支払金額])</f>
        <v>48400</v>
      </c>
      <c r="I48" s="40">
        <f>テーブル13121314151617181920212223242728[[#Totals],[仕入金額]]-テーブル13121314151617181920212223242728[[#Totals],[支払金額]]</f>
        <v>0</v>
      </c>
      <c r="J48" s="40"/>
      <c r="K48" s="41">
        <f>SUBTOTAL(103,テーブル13121314151617181920212223242728[裕子])</f>
        <v>3</v>
      </c>
      <c r="L48" s="39"/>
    </row>
  </sheetData>
  <phoneticPr fontId="1"/>
  <dataValidations count="4">
    <dataValidation type="list" allowBlank="1" showInputMessage="1" showErrorMessage="1" sqref="G49:G61" xr:uid="{47849934-B7B5-43D8-A014-D0E671968BF9}">
      <formula1>",合銀1,合銀,島銀,振込手数,    "</formula1>
    </dataValidation>
    <dataValidation type="list" allowBlank="1" showInputMessage="1" showErrorMessage="1" sqref="J2:K47" xr:uid="{289744FA-52AD-4DD6-BEED-C6D36DE8D3EF}">
      <formula1>"  ,済"</formula1>
    </dataValidation>
    <dataValidation type="list" allowBlank="1" showInputMessage="1" showErrorMessage="1" sqref="B2:B47" xr:uid="{B08F03EB-C3F9-4F7B-A47A-8D44E2FDCED3}">
      <formula1>"田原,田中,高木,勝田,森山,市村,金築,その他"</formula1>
    </dataValidation>
    <dataValidation type="list" allowBlank="1" showInputMessage="1" showErrorMessage="1" sqref="G2:G47" xr:uid="{01131F9F-717F-467D-B0C7-02BB50C127E2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&amp;C平田クレーン</oddHeader>
  </headerFooter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0F5F5-74E0-4C37-BEEA-CDD1EEF071D1}">
  <sheetPr codeName="Sheet28">
    <tabColor theme="7" tint="0.39997558519241921"/>
  </sheetPr>
  <dimension ref="A1:K48"/>
  <sheetViews>
    <sheetView workbookViewId="0">
      <pane ySplit="1" topLeftCell="A2" activePane="bottomLeft" state="frozen"/>
      <selection pane="bottomLeft" activeCell="M11" sqref="M11:N11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44671</v>
      </c>
      <c r="B2" s="2" t="s">
        <v>97</v>
      </c>
      <c r="C2" s="2" t="s">
        <v>129</v>
      </c>
      <c r="D2" s="2">
        <v>1</v>
      </c>
      <c r="E2" s="30">
        <v>80494</v>
      </c>
      <c r="F2" s="30">
        <f>D2*E2</f>
        <v>80494</v>
      </c>
      <c r="G2" s="30"/>
      <c r="H2" s="30"/>
      <c r="I2" s="30">
        <f>F2-H2</f>
        <v>80494</v>
      </c>
      <c r="J2" s="30" t="s">
        <v>89</v>
      </c>
      <c r="K2" s="31" t="s">
        <v>89</v>
      </c>
    </row>
    <row r="3" spans="1:11">
      <c r="A3" s="48">
        <v>44701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80384</v>
      </c>
      <c r="I3" s="51">
        <f>I2+F3-H3</f>
        <v>110</v>
      </c>
      <c r="J3" s="51" t="s">
        <v>89</v>
      </c>
      <c r="K3" s="53" t="s">
        <v>89</v>
      </c>
    </row>
    <row r="4" spans="1:11">
      <c r="A4" s="48">
        <v>44701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3" t="s">
        <v>89</v>
      </c>
    </row>
    <row r="5" spans="1:11">
      <c r="A5" s="4">
        <v>44732</v>
      </c>
      <c r="B5" s="2" t="s">
        <v>101</v>
      </c>
      <c r="C5" s="1"/>
      <c r="D5" s="1">
        <v>1</v>
      </c>
      <c r="E5" s="32">
        <v>412500</v>
      </c>
      <c r="F5" s="32">
        <f t="shared" si="0"/>
        <v>412500</v>
      </c>
      <c r="G5" s="30"/>
      <c r="H5" s="32"/>
      <c r="I5" s="32">
        <f t="shared" si="1"/>
        <v>412500</v>
      </c>
      <c r="J5" s="32" t="s">
        <v>89</v>
      </c>
      <c r="K5" s="32" t="s">
        <v>89</v>
      </c>
    </row>
    <row r="6" spans="1:11">
      <c r="A6" s="48">
        <v>44762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412390</v>
      </c>
      <c r="I6" s="51">
        <f t="shared" si="1"/>
        <v>110</v>
      </c>
      <c r="J6" s="51" t="s">
        <v>89</v>
      </c>
      <c r="K6" s="51" t="s">
        <v>89</v>
      </c>
    </row>
    <row r="7" spans="1:11">
      <c r="A7" s="48">
        <v>44762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110</v>
      </c>
      <c r="I7" s="51">
        <f t="shared" si="1"/>
        <v>0</v>
      </c>
      <c r="J7" s="51" t="s">
        <v>89</v>
      </c>
      <c r="K7" s="51" t="s">
        <v>89</v>
      </c>
    </row>
    <row r="8" spans="1:11">
      <c r="A8" s="4">
        <v>44762</v>
      </c>
      <c r="B8" s="2" t="s">
        <v>104</v>
      </c>
      <c r="C8" s="1"/>
      <c r="D8" s="1">
        <v>1</v>
      </c>
      <c r="E8" s="32">
        <v>165000</v>
      </c>
      <c r="F8" s="32">
        <f t="shared" si="0"/>
        <v>165000</v>
      </c>
      <c r="G8" s="30"/>
      <c r="H8" s="32"/>
      <c r="I8" s="32">
        <f t="shared" si="1"/>
        <v>165000</v>
      </c>
      <c r="J8" s="32" t="s">
        <v>89</v>
      </c>
      <c r="K8" s="32" t="s">
        <v>89</v>
      </c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165000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165000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165000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165000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165000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165000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165000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165000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165000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165000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165000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165000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165000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165000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165000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165000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165000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165000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165000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165000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165000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165000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165000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165000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165000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165000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165000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165000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165000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165000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165000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165000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165000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165000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165000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165000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165000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165000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165000</v>
      </c>
      <c r="J47" s="37"/>
      <c r="K47" s="38"/>
    </row>
    <row r="48" spans="1:11">
      <c r="A48" s="16" t="s">
        <v>86</v>
      </c>
      <c r="B48" s="9"/>
      <c r="C48" s="9"/>
      <c r="D48" s="9"/>
      <c r="E48" s="42"/>
      <c r="F48" s="42">
        <f>SUBTOTAL(109,テーブル1312131415161718192021222324272829[仕入金額])</f>
        <v>657994</v>
      </c>
      <c r="G48" s="42"/>
      <c r="H48" s="42">
        <f>SUBTOTAL(109,テーブル1312131415161718192021222324272829[支払金額])</f>
        <v>492994</v>
      </c>
      <c r="I48" s="42">
        <f>テーブル1312131415161718192021222324272829[[#Totals],[仕入金額]]-テーブル1312131415161718192021222324272829[[#Totals],[支払金額]]</f>
        <v>165000</v>
      </c>
      <c r="J48" s="42"/>
      <c r="K48" s="43">
        <f>SUBTOTAL(103,テーブル1312131415161718192021222324272829[裕子])</f>
        <v>7</v>
      </c>
    </row>
  </sheetData>
  <phoneticPr fontId="1"/>
  <dataValidations count="4">
    <dataValidation type="list" allowBlank="1" showInputMessage="1" showErrorMessage="1" sqref="G2:G47" xr:uid="{D1FBFFB3-10E8-4306-A0D8-9AACD3824BFD}">
      <formula1>",合銀1,合銀,島銀,現金,振込手数,値引"</formula1>
    </dataValidation>
    <dataValidation type="list" allowBlank="1" showInputMessage="1" showErrorMessage="1" sqref="B2:B47" xr:uid="{59A6D261-F041-488F-8900-8A961F0F34AA}">
      <formula1>"田原,田中,高木,勝田,森山,市村,金築,その他"</formula1>
    </dataValidation>
    <dataValidation type="list" allowBlank="1" showInputMessage="1" showErrorMessage="1" sqref="J2:K47" xr:uid="{3D21EC8F-E9AC-4076-924B-643297AE3319}">
      <formula1>"  ,済"</formula1>
    </dataValidation>
    <dataValidation type="list" allowBlank="1" showInputMessage="1" showErrorMessage="1" sqref="G49:G61" xr:uid="{7F3CF9BD-18C2-486A-95FC-D20A90A36CC4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&amp;C（株）フクマ住設</oddHeader>
  </headerFooter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C0BBF-2CF4-42F2-8D76-1AA2C7891FA5}">
  <sheetPr codeName="Sheet29">
    <tabColor theme="7" tint="0.39997558519241921"/>
  </sheetPr>
  <dimension ref="A1:K48"/>
  <sheetViews>
    <sheetView workbookViewId="0">
      <pane ySplit="1" topLeftCell="A2" activePane="bottomLeft" state="frozen"/>
      <selection pane="bottomLeft" activeCell="P3" sqref="P3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88</v>
      </c>
      <c r="D2" s="2">
        <v>1</v>
      </c>
      <c r="E2" s="30">
        <v>750000</v>
      </c>
      <c r="F2" s="30">
        <f>D2*E2</f>
        <v>750000</v>
      </c>
      <c r="G2" s="30"/>
      <c r="H2" s="30"/>
      <c r="I2" s="30">
        <f>F2-H2</f>
        <v>750000</v>
      </c>
      <c r="J2" s="30"/>
      <c r="K2" s="31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749890</v>
      </c>
      <c r="I3" s="51">
        <f>I2+F3-H3</f>
        <v>110</v>
      </c>
      <c r="J3" s="51" t="s">
        <v>89</v>
      </c>
      <c r="K3" s="53" t="s">
        <v>89</v>
      </c>
    </row>
    <row r="4" spans="1:11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3" t="s">
        <v>89</v>
      </c>
    </row>
    <row r="5" spans="1:11">
      <c r="A5" s="4"/>
      <c r="B5" s="2"/>
      <c r="C5" s="1"/>
      <c r="D5" s="1"/>
      <c r="E5" s="32"/>
      <c r="F5" s="32">
        <f t="shared" si="0"/>
        <v>0</v>
      </c>
      <c r="G5" s="30"/>
      <c r="H5" s="32"/>
      <c r="I5" s="32">
        <f t="shared" si="1"/>
        <v>0</v>
      </c>
      <c r="J5" s="32"/>
      <c r="K5" s="31"/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40"/>
      <c r="F48" s="40">
        <f>SUBTOTAL(109,テーブル131213141516171819202122232427282930[仕入金額])</f>
        <v>750000</v>
      </c>
      <c r="G48" s="40"/>
      <c r="H48" s="40">
        <f>SUBTOTAL(109,テーブル131213141516171819202122232427282930[支払金額])</f>
        <v>750000</v>
      </c>
      <c r="I48" s="40">
        <f>テーブル131213141516171819202122232427282930[[#Totals],[仕入金額]]-テーブル131213141516171819202122232427282930[[#Totals],[支払金額]]</f>
        <v>0</v>
      </c>
      <c r="J48" s="40"/>
      <c r="K48" s="41">
        <f>SUBTOTAL(103,テーブル131213141516171819202122232427282930[裕子])</f>
        <v>3</v>
      </c>
    </row>
  </sheetData>
  <phoneticPr fontId="1"/>
  <dataValidations count="4">
    <dataValidation type="list" allowBlank="1" showInputMessage="1" showErrorMessage="1" sqref="G49:G61" xr:uid="{BD9886FE-BAE3-4580-9F78-0D5EEFA7A860}">
      <formula1>",合銀1,合銀,島銀,振込手数,    "</formula1>
    </dataValidation>
    <dataValidation type="list" allowBlank="1" showInputMessage="1" showErrorMessage="1" sqref="J2:K47" xr:uid="{0686ACFA-4CAF-4652-9981-452E296C757A}">
      <formula1>"  ,済"</formula1>
    </dataValidation>
    <dataValidation type="list" allowBlank="1" showInputMessage="1" showErrorMessage="1" sqref="B2:B47" xr:uid="{2719239B-C179-4DC6-919D-CE0F5FFDAC1E}">
      <formula1>"田原,田中,高木,勝田,森山,市村,金築,その他"</formula1>
    </dataValidation>
    <dataValidation type="list" allowBlank="1" showInputMessage="1" showErrorMessage="1" sqref="G2:G47" xr:uid="{A4D5EDC6-0841-4261-9A5D-A64C70BF921E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&amp;C藤江板金</oddHeader>
  </headerFooter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410EE3-D54C-4B82-AED1-26B05151E333}">
  <sheetPr codeName="Sheet30">
    <tabColor theme="7" tint="0.39997558519241921"/>
  </sheetPr>
  <dimension ref="A1:L48"/>
  <sheetViews>
    <sheetView workbookViewId="0">
      <pane ySplit="1" topLeftCell="A2" activePane="bottomLeft" state="frozen"/>
      <selection pane="bottomLeft" activeCell="J4" sqref="J4:K5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2">
      <c r="A2" s="3">
        <v>44706</v>
      </c>
      <c r="B2" s="2" t="s">
        <v>101</v>
      </c>
      <c r="C2" s="2"/>
      <c r="D2" s="2">
        <v>1</v>
      </c>
      <c r="E2" s="30">
        <v>220000</v>
      </c>
      <c r="F2" s="30">
        <f>D2*E2</f>
        <v>220000</v>
      </c>
      <c r="G2" s="30"/>
      <c r="H2" s="30"/>
      <c r="I2" s="30">
        <f>F2-H2</f>
        <v>220000</v>
      </c>
      <c r="J2" s="30" t="s">
        <v>89</v>
      </c>
      <c r="K2" s="31" t="s">
        <v>89</v>
      </c>
      <c r="L2" s="39"/>
    </row>
    <row r="3" spans="1:12">
      <c r="A3" s="48">
        <v>44722</v>
      </c>
      <c r="B3" s="49"/>
      <c r="C3" s="50"/>
      <c r="D3" s="50"/>
      <c r="E3" s="51"/>
      <c r="F3" s="51">
        <f t="shared" ref="F3:F47" si="0">D3*E3</f>
        <v>0</v>
      </c>
      <c r="G3" s="52" t="s">
        <v>122</v>
      </c>
      <c r="H3" s="51">
        <v>220000</v>
      </c>
      <c r="I3" s="51">
        <f>I2+F3-H3</f>
        <v>0</v>
      </c>
      <c r="J3" s="51" t="s">
        <v>89</v>
      </c>
      <c r="K3" s="53" t="s">
        <v>89</v>
      </c>
      <c r="L3" s="39"/>
    </row>
    <row r="4" spans="1:12">
      <c r="A4" s="4">
        <v>44737</v>
      </c>
      <c r="B4" s="2" t="s">
        <v>101</v>
      </c>
      <c r="C4" s="1"/>
      <c r="D4" s="1">
        <v>1</v>
      </c>
      <c r="E4" s="32">
        <v>660000</v>
      </c>
      <c r="F4" s="32">
        <f t="shared" si="0"/>
        <v>660000</v>
      </c>
      <c r="G4" s="30"/>
      <c r="H4" s="32"/>
      <c r="I4" s="32">
        <f t="shared" ref="I4:I47" si="1">I3+F4-H4</f>
        <v>660000</v>
      </c>
      <c r="J4" s="32" t="s">
        <v>89</v>
      </c>
      <c r="K4" s="32" t="s">
        <v>89</v>
      </c>
      <c r="L4" s="39"/>
    </row>
    <row r="5" spans="1:12">
      <c r="A5" s="48">
        <v>44747</v>
      </c>
      <c r="B5" s="49"/>
      <c r="C5" s="50"/>
      <c r="D5" s="50"/>
      <c r="E5" s="51"/>
      <c r="F5" s="51">
        <f t="shared" si="0"/>
        <v>0</v>
      </c>
      <c r="G5" s="52" t="s">
        <v>122</v>
      </c>
      <c r="H5" s="51">
        <v>660000</v>
      </c>
      <c r="I5" s="51">
        <f t="shared" si="1"/>
        <v>0</v>
      </c>
      <c r="J5" s="51" t="s">
        <v>89</v>
      </c>
      <c r="K5" s="51" t="s">
        <v>89</v>
      </c>
      <c r="L5" s="39"/>
    </row>
    <row r="6" spans="1:12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  <c r="L6" s="39"/>
    </row>
    <row r="7" spans="1:12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  <c r="L7" s="39"/>
    </row>
    <row r="8" spans="1:12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  <c r="L8" s="39"/>
    </row>
    <row r="9" spans="1:12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  <c r="L9" s="39"/>
    </row>
    <row r="10" spans="1:12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  <c r="L10" s="39"/>
    </row>
    <row r="11" spans="1:12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  <c r="L11" s="39"/>
    </row>
    <row r="12" spans="1:12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  <c r="L12" s="39"/>
    </row>
    <row r="13" spans="1:12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  <c r="L13" s="39"/>
    </row>
    <row r="14" spans="1:12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  <c r="L14" s="39"/>
    </row>
    <row r="15" spans="1:12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  <c r="L15" s="39"/>
    </row>
    <row r="16" spans="1:12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  <c r="L16" s="39"/>
    </row>
    <row r="17" spans="1:12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  <c r="L17" s="39"/>
    </row>
    <row r="18" spans="1:12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  <c r="L18" s="39"/>
    </row>
    <row r="19" spans="1:12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  <c r="L19" s="39"/>
    </row>
    <row r="20" spans="1:12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  <c r="L20" s="39"/>
    </row>
    <row r="21" spans="1:12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  <c r="L21" s="39"/>
    </row>
    <row r="22" spans="1:12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  <c r="L22" s="39"/>
    </row>
    <row r="23" spans="1:12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  <c r="L23" s="39"/>
    </row>
    <row r="24" spans="1:12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  <c r="L24" s="39"/>
    </row>
    <row r="25" spans="1:12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  <c r="L25" s="39"/>
    </row>
    <row r="26" spans="1:12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  <c r="L26" s="39"/>
    </row>
    <row r="27" spans="1:12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  <c r="L27" s="39"/>
    </row>
    <row r="28" spans="1:12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  <c r="L28" s="39"/>
    </row>
    <row r="29" spans="1:12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  <c r="L29" s="39"/>
    </row>
    <row r="30" spans="1:12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  <c r="L30" s="39"/>
    </row>
    <row r="31" spans="1:12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  <c r="L31" s="39"/>
    </row>
    <row r="32" spans="1:12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  <c r="L32" s="39"/>
    </row>
    <row r="33" spans="1:12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  <c r="L33" s="39"/>
    </row>
    <row r="34" spans="1:12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  <c r="L34" s="39"/>
    </row>
    <row r="35" spans="1:12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  <c r="L35" s="39"/>
    </row>
    <row r="36" spans="1:12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  <c r="L36" s="39"/>
    </row>
    <row r="37" spans="1:12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  <c r="L37" s="39"/>
    </row>
    <row r="38" spans="1:12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  <c r="L38" s="39"/>
    </row>
    <row r="39" spans="1:12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  <c r="L39" s="39"/>
    </row>
    <row r="40" spans="1:12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  <c r="L40" s="39"/>
    </row>
    <row r="41" spans="1:12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  <c r="L41" s="39"/>
    </row>
    <row r="42" spans="1:12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  <c r="L42" s="39"/>
    </row>
    <row r="43" spans="1:12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  <c r="L43" s="39"/>
    </row>
    <row r="44" spans="1:12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  <c r="L44" s="39"/>
    </row>
    <row r="45" spans="1:12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  <c r="L45" s="39"/>
    </row>
    <row r="46" spans="1:12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  <c r="L46" s="39"/>
    </row>
    <row r="47" spans="1:12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  <c r="L47" s="39"/>
    </row>
    <row r="48" spans="1:12">
      <c r="A48" s="16" t="s">
        <v>86</v>
      </c>
      <c r="B48" s="9"/>
      <c r="C48" s="9"/>
      <c r="D48" s="9"/>
      <c r="E48" s="42"/>
      <c r="F48" s="42">
        <f>SUBTOTAL(109,テーブル13121314151617181920212223242728293031[仕入金額])</f>
        <v>880000</v>
      </c>
      <c r="G48" s="42"/>
      <c r="H48" s="42">
        <f>SUBTOTAL(109,テーブル13121314151617181920212223242728293031[支払金額])</f>
        <v>880000</v>
      </c>
      <c r="I48" s="42">
        <f>テーブル13121314151617181920212223242728293031[[#Totals],[仕入金額]]-テーブル13121314151617181920212223242728293031[[#Totals],[支払金額]]</f>
        <v>0</v>
      </c>
      <c r="J48" s="42"/>
      <c r="K48" s="43">
        <f>SUBTOTAL(103,テーブル13121314151617181920212223242728293031[裕子])</f>
        <v>4</v>
      </c>
      <c r="L48" s="39"/>
    </row>
  </sheetData>
  <phoneticPr fontId="1"/>
  <dataValidations count="4">
    <dataValidation type="list" allowBlank="1" showInputMessage="1" showErrorMessage="1" sqref="G2:G47" xr:uid="{998817B5-B157-412D-ABCD-D7B9344B84C9}">
      <formula1>",合銀1,合銀,島銀,現金,振込手数,値引"</formula1>
    </dataValidation>
    <dataValidation type="list" allowBlank="1" showInputMessage="1" showErrorMessage="1" sqref="B2:B47" xr:uid="{10422B3E-5594-4A04-8CAA-AED5C2559B3C}">
      <formula1>"田原,田中,高木,勝田,森山,市村,金築,その他"</formula1>
    </dataValidation>
    <dataValidation type="list" allowBlank="1" showInputMessage="1" showErrorMessage="1" sqref="J2:K47" xr:uid="{0884CE7E-DB00-4370-98E5-27DA68F69060}">
      <formula1>"  ,済"</formula1>
    </dataValidation>
    <dataValidation type="list" allowBlank="1" showInputMessage="1" showErrorMessage="1" sqref="G49:G61" xr:uid="{E5D3FC90-9264-4E65-B67D-BB955ADD8B0C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&amp;C藤原大工</oddHeader>
  </headerFooter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285A9-7E0B-4731-9342-B6F81F83D984}">
  <sheetPr codeName="Sheet31">
    <tabColor theme="7" tint="0.39997558519241921"/>
  </sheetPr>
  <dimension ref="A1:K48"/>
  <sheetViews>
    <sheetView workbookViewId="0">
      <pane ySplit="1" topLeftCell="A2" activePane="bottomLeft" state="frozen"/>
      <selection pane="bottomLeft" activeCell="J8" sqref="J8:K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88</v>
      </c>
      <c r="D2" s="2">
        <v>1</v>
      </c>
      <c r="E2" s="30">
        <v>105050</v>
      </c>
      <c r="F2" s="30">
        <f>D2*E2</f>
        <v>105050</v>
      </c>
      <c r="G2" s="30"/>
      <c r="H2" s="30"/>
      <c r="I2" s="30">
        <f>F2-H2</f>
        <v>105050</v>
      </c>
      <c r="J2" s="30"/>
      <c r="K2" s="5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104940</v>
      </c>
      <c r="I3" s="51">
        <f>I2+F3-H3</f>
        <v>110</v>
      </c>
      <c r="J3" s="51" t="s">
        <v>89</v>
      </c>
      <c r="K3" s="56" t="s">
        <v>89</v>
      </c>
    </row>
    <row r="4" spans="1:11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6" t="s">
        <v>89</v>
      </c>
    </row>
    <row r="5" spans="1:11">
      <c r="A5" s="4">
        <v>44671</v>
      </c>
      <c r="B5" s="2" t="s">
        <v>104</v>
      </c>
      <c r="C5" s="1"/>
      <c r="D5" s="1">
        <v>1</v>
      </c>
      <c r="E5" s="32">
        <v>16500</v>
      </c>
      <c r="F5" s="32">
        <f t="shared" si="0"/>
        <v>16500</v>
      </c>
      <c r="G5" s="30"/>
      <c r="H5" s="32"/>
      <c r="I5" s="32">
        <f t="shared" si="1"/>
        <v>16500</v>
      </c>
      <c r="J5" s="32" t="s">
        <v>89</v>
      </c>
      <c r="K5" s="5" t="s">
        <v>89</v>
      </c>
    </row>
    <row r="6" spans="1:11">
      <c r="A6" s="48">
        <v>44701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16445</v>
      </c>
      <c r="I6" s="51">
        <f t="shared" si="1"/>
        <v>55</v>
      </c>
      <c r="J6" s="51" t="s">
        <v>89</v>
      </c>
      <c r="K6" s="56" t="s">
        <v>89</v>
      </c>
    </row>
    <row r="7" spans="1:11">
      <c r="A7" s="48">
        <v>44701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55</v>
      </c>
      <c r="I7" s="51">
        <f t="shared" si="1"/>
        <v>0</v>
      </c>
      <c r="J7" s="51" t="s">
        <v>89</v>
      </c>
      <c r="K7" s="56" t="s">
        <v>89</v>
      </c>
    </row>
    <row r="8" spans="1:11">
      <c r="A8" s="4">
        <v>44762</v>
      </c>
      <c r="B8" s="2" t="s">
        <v>92</v>
      </c>
      <c r="C8" s="1"/>
      <c r="D8" s="1">
        <v>1</v>
      </c>
      <c r="E8" s="32">
        <v>98670</v>
      </c>
      <c r="F8" s="32">
        <f t="shared" si="0"/>
        <v>98670</v>
      </c>
      <c r="G8" s="30"/>
      <c r="H8" s="32"/>
      <c r="I8" s="32">
        <f t="shared" si="1"/>
        <v>98670</v>
      </c>
      <c r="J8" s="32" t="s">
        <v>89</v>
      </c>
      <c r="K8" s="32" t="s">
        <v>89</v>
      </c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98670</v>
      </c>
      <c r="J9" s="32"/>
      <c r="K9" s="5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98670</v>
      </c>
      <c r="J10" s="32"/>
      <c r="K10" s="5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98670</v>
      </c>
      <c r="J11" s="32"/>
      <c r="K11" s="5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98670</v>
      </c>
      <c r="J12" s="32"/>
      <c r="K12" s="5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98670</v>
      </c>
      <c r="J13" s="32"/>
      <c r="K13" s="5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98670</v>
      </c>
      <c r="J14" s="32"/>
      <c r="K14" s="5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98670</v>
      </c>
      <c r="J15" s="32"/>
      <c r="K15" s="5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98670</v>
      </c>
      <c r="J16" s="32"/>
      <c r="K16" s="5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98670</v>
      </c>
      <c r="J17" s="32"/>
      <c r="K17" s="5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98670</v>
      </c>
      <c r="J18" s="32"/>
      <c r="K18" s="5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98670</v>
      </c>
      <c r="J19" s="32"/>
      <c r="K19" s="5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98670</v>
      </c>
      <c r="J20" s="32"/>
      <c r="K20" s="5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98670</v>
      </c>
      <c r="J21" s="32"/>
      <c r="K21" s="5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98670</v>
      </c>
      <c r="J22" s="32"/>
      <c r="K22" s="5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98670</v>
      </c>
      <c r="J23" s="32"/>
      <c r="K23" s="5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98670</v>
      </c>
      <c r="J24" s="32"/>
      <c r="K24" s="5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98670</v>
      </c>
      <c r="J25" s="32"/>
      <c r="K25" s="5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98670</v>
      </c>
      <c r="J26" s="32"/>
      <c r="K26" s="5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98670</v>
      </c>
      <c r="J27" s="32"/>
      <c r="K27" s="5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98670</v>
      </c>
      <c r="J28" s="32"/>
      <c r="K28" s="5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98670</v>
      </c>
      <c r="J29" s="32"/>
      <c r="K29" s="5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98670</v>
      </c>
      <c r="J30" s="32"/>
      <c r="K30" s="5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98670</v>
      </c>
      <c r="J31" s="32"/>
      <c r="K31" s="5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98670</v>
      </c>
      <c r="J32" s="32"/>
      <c r="K32" s="5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98670</v>
      </c>
      <c r="J33" s="32"/>
      <c r="K33" s="5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98670</v>
      </c>
      <c r="J34" s="32"/>
      <c r="K34" s="5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98670</v>
      </c>
      <c r="J35" s="32"/>
      <c r="K35" s="5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98670</v>
      </c>
      <c r="J36" s="32"/>
      <c r="K36" s="5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98670</v>
      </c>
      <c r="J37" s="32"/>
      <c r="K37" s="5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98670</v>
      </c>
      <c r="J38" s="32"/>
      <c r="K38" s="5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98670</v>
      </c>
      <c r="J39" s="32"/>
      <c r="K39" s="5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98670</v>
      </c>
      <c r="J40" s="32"/>
      <c r="K40" s="5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98670</v>
      </c>
      <c r="J41" s="32"/>
      <c r="K41" s="5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98670</v>
      </c>
      <c r="J42" s="32"/>
      <c r="K42" s="5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98670</v>
      </c>
      <c r="J43" s="32"/>
      <c r="K43" s="5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98670</v>
      </c>
      <c r="J44" s="32"/>
      <c r="K44" s="5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98670</v>
      </c>
      <c r="J45" s="32"/>
      <c r="K45" s="5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98670</v>
      </c>
      <c r="J46" s="32"/>
      <c r="K46" s="5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98670</v>
      </c>
      <c r="J47" s="37"/>
      <c r="K47" s="11"/>
    </row>
    <row r="48" spans="1:11">
      <c r="A48" s="16" t="s">
        <v>86</v>
      </c>
      <c r="B48" s="9"/>
      <c r="C48" s="9"/>
      <c r="D48" s="9"/>
      <c r="E48" s="42"/>
      <c r="F48" s="42">
        <f>SUBTOTAL(109,テーブル1312131415161718192021222324272829303132[仕入金額])</f>
        <v>220220</v>
      </c>
      <c r="G48" s="42"/>
      <c r="H48" s="42">
        <f>SUBTOTAL(109,テーブル1312131415161718192021222324272829303132[支払金額])</f>
        <v>121550</v>
      </c>
      <c r="I48" s="42">
        <f>テーブル1312131415161718192021222324272829303132[[#Totals],[仕入金額]]-テーブル1312131415161718192021222324272829303132[[#Totals],[支払金額]]</f>
        <v>98670</v>
      </c>
      <c r="J48" s="42"/>
      <c r="K48" s="17"/>
    </row>
  </sheetData>
  <phoneticPr fontId="1"/>
  <dataValidations count="4">
    <dataValidation type="list" allowBlank="1" showInputMessage="1" showErrorMessage="1" sqref="G49:G61" xr:uid="{96CADF60-642D-4A51-8AB5-49B3A96E49F1}">
      <formula1>",合銀1,合銀,島銀,振込手数,    "</formula1>
    </dataValidation>
    <dataValidation type="list" allowBlank="1" showInputMessage="1" showErrorMessage="1" sqref="J2:K47" xr:uid="{5D2EA928-AC04-4535-A2BB-84E4EF0761A0}">
      <formula1>"  ,済"</formula1>
    </dataValidation>
    <dataValidation type="list" allowBlank="1" showInputMessage="1" showErrorMessage="1" sqref="B2:B47" xr:uid="{91655F2D-9BA5-4F70-94B7-09B581660001}">
      <formula1>"田原,田中,高木,勝田,森山,市村,金築,その他"</formula1>
    </dataValidation>
    <dataValidation type="list" allowBlank="1" showInputMessage="1" showErrorMessage="1" sqref="G2:G47" xr:uid="{63B5BD8D-B015-4308-9D93-4B2873C12ABA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&amp;C（株）プレコ</oddHeader>
  </headerFooter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7AF0D-A84C-47AC-8372-E08864301207}">
  <sheetPr codeName="Sheet32">
    <tabColor theme="7" tint="0.39997558519241921"/>
  </sheetPr>
  <dimension ref="A1:K48"/>
  <sheetViews>
    <sheetView workbookViewId="0">
      <pane ySplit="1" topLeftCell="A2" activePane="bottomLeft" state="frozen"/>
      <selection pane="bottomLeft" activeCell="M7" sqref="M7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44701</v>
      </c>
      <c r="B2" s="2" t="s">
        <v>101</v>
      </c>
      <c r="C2" s="2"/>
      <c r="D2" s="2">
        <v>1</v>
      </c>
      <c r="E2" s="30">
        <v>124300</v>
      </c>
      <c r="F2" s="30">
        <f>D2*E2</f>
        <v>124300</v>
      </c>
      <c r="G2" s="30"/>
      <c r="H2" s="30"/>
      <c r="I2" s="30">
        <f>F2-H2</f>
        <v>124300</v>
      </c>
      <c r="J2" s="30" t="s">
        <v>89</v>
      </c>
      <c r="K2" s="31" t="s">
        <v>89</v>
      </c>
    </row>
    <row r="3" spans="1:11">
      <c r="A3" s="48">
        <v>44732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124190</v>
      </c>
      <c r="I3" s="51">
        <f>I2+F3-H3</f>
        <v>110</v>
      </c>
      <c r="J3" s="51" t="s">
        <v>89</v>
      </c>
      <c r="K3" s="51" t="s">
        <v>89</v>
      </c>
    </row>
    <row r="4" spans="1:11">
      <c r="A4" s="48">
        <v>44732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1" t="s">
        <v>89</v>
      </c>
    </row>
    <row r="5" spans="1:11">
      <c r="A5" s="4">
        <v>44732</v>
      </c>
      <c r="B5" s="2" t="s">
        <v>97</v>
      </c>
      <c r="C5" s="1" t="s">
        <v>131</v>
      </c>
      <c r="D5" s="1">
        <v>1</v>
      </c>
      <c r="E5" s="32">
        <v>140800</v>
      </c>
      <c r="F5" s="32">
        <f t="shared" si="0"/>
        <v>140800</v>
      </c>
      <c r="G5" s="30"/>
      <c r="H5" s="32"/>
      <c r="I5" s="32">
        <f t="shared" si="1"/>
        <v>140800</v>
      </c>
      <c r="J5" s="32" t="s">
        <v>89</v>
      </c>
      <c r="K5" s="32" t="s">
        <v>89</v>
      </c>
    </row>
    <row r="6" spans="1:11">
      <c r="A6" s="48">
        <v>44762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140690</v>
      </c>
      <c r="I6" s="51">
        <f t="shared" si="1"/>
        <v>110</v>
      </c>
      <c r="J6" s="51" t="s">
        <v>89</v>
      </c>
      <c r="K6" s="51" t="s">
        <v>89</v>
      </c>
    </row>
    <row r="7" spans="1:11">
      <c r="A7" s="48">
        <v>44762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110</v>
      </c>
      <c r="I7" s="51">
        <f t="shared" si="1"/>
        <v>0</v>
      </c>
      <c r="J7" s="51" t="s">
        <v>89</v>
      </c>
      <c r="K7" s="51" t="s">
        <v>89</v>
      </c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40"/>
      <c r="F48" s="40">
        <f>SUBTOTAL(109,テーブル131213141516171819202122232427282930313233[仕入金額])</f>
        <v>265100</v>
      </c>
      <c r="G48" s="40"/>
      <c r="H48" s="40">
        <f>SUBTOTAL(109,テーブル131213141516171819202122232427282930313233[支払金額])</f>
        <v>265100</v>
      </c>
      <c r="I48" s="40">
        <f>テーブル131213141516171819202122232427282930313233[[#Totals],[仕入金額]]-テーブル131213141516171819202122232427282930313233[[#Totals],[支払金額]]</f>
        <v>0</v>
      </c>
      <c r="J48" s="40"/>
      <c r="K48" s="41"/>
    </row>
  </sheetData>
  <phoneticPr fontId="1"/>
  <dataValidations count="4">
    <dataValidation type="list" allowBlank="1" showInputMessage="1" showErrorMessage="1" sqref="G2:G47" xr:uid="{6739A7FF-8F30-4B2C-8A1A-4F6A15F7860D}">
      <formula1>",合銀1,合銀,島銀,現金,振込手数,値引"</formula1>
    </dataValidation>
    <dataValidation type="list" allowBlank="1" showInputMessage="1" showErrorMessage="1" sqref="B2:B47" xr:uid="{8EE8E43E-7CEE-406D-B14E-5E0455CEDDC4}">
      <formula1>"田原,田中,高木,勝田,森山,市村,金築,その他"</formula1>
    </dataValidation>
    <dataValidation type="list" allowBlank="1" showInputMessage="1" showErrorMessage="1" sqref="J2:K47" xr:uid="{2B5DB590-7CA2-429C-B4B3-ED94CA1D1B9C}">
      <formula1>"  ,済"</formula1>
    </dataValidation>
    <dataValidation type="list" allowBlank="1" showInputMessage="1" showErrorMessage="1" sqref="G49:G61" xr:uid="{F611F206-9781-40B0-853E-A62A24CB04FF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&amp;Cホリオ機械工業</oddHeader>
  </headerFooter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E25B4-F05D-4032-8C31-42FA76D8A66B}">
  <sheetPr codeName="Sheet33">
    <tabColor theme="7" tint="0.39997558519241921"/>
  </sheetPr>
  <dimension ref="A1:K48"/>
  <sheetViews>
    <sheetView workbookViewId="0">
      <pane ySplit="1" topLeftCell="A2" activePane="bottomLeft" state="frozen"/>
      <selection pane="bottomLeft" activeCell="J3" sqref="J3:K7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44701</v>
      </c>
      <c r="B2" s="2" t="s">
        <v>104</v>
      </c>
      <c r="C2" s="2"/>
      <c r="D2" s="2">
        <v>1</v>
      </c>
      <c r="E2" s="30">
        <v>19800</v>
      </c>
      <c r="F2" s="30">
        <f>D2*E2</f>
        <v>19800</v>
      </c>
      <c r="G2" s="30"/>
      <c r="H2" s="30"/>
      <c r="I2" s="30">
        <f>F2-H2</f>
        <v>19800</v>
      </c>
      <c r="J2" s="30" t="s">
        <v>89</v>
      </c>
      <c r="K2" s="31" t="s">
        <v>89</v>
      </c>
    </row>
    <row r="3" spans="1:11">
      <c r="A3" s="48">
        <v>44732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19745</v>
      </c>
      <c r="I3" s="51">
        <f>I2+F3-H3</f>
        <v>55</v>
      </c>
      <c r="J3" s="51" t="s">
        <v>89</v>
      </c>
      <c r="K3" s="51" t="s">
        <v>89</v>
      </c>
    </row>
    <row r="4" spans="1:11">
      <c r="A4" s="48">
        <v>44732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55</v>
      </c>
      <c r="I4" s="51">
        <f t="shared" ref="I4:I47" si="1">I3+F4-H4</f>
        <v>0</v>
      </c>
      <c r="J4" s="51" t="s">
        <v>89</v>
      </c>
      <c r="K4" s="51" t="s">
        <v>89</v>
      </c>
    </row>
    <row r="5" spans="1:11">
      <c r="A5" s="4">
        <v>44732</v>
      </c>
      <c r="B5" s="2" t="s">
        <v>97</v>
      </c>
      <c r="C5" s="1" t="s">
        <v>132</v>
      </c>
      <c r="D5" s="1">
        <v>1</v>
      </c>
      <c r="E5" s="32">
        <v>693000</v>
      </c>
      <c r="F5" s="32">
        <f t="shared" si="0"/>
        <v>693000</v>
      </c>
      <c r="G5" s="30"/>
      <c r="H5" s="32"/>
      <c r="I5" s="32">
        <f t="shared" si="1"/>
        <v>693000</v>
      </c>
      <c r="J5" s="32" t="s">
        <v>89</v>
      </c>
      <c r="K5" s="32" t="s">
        <v>89</v>
      </c>
    </row>
    <row r="6" spans="1:11">
      <c r="A6" s="48">
        <v>44762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692890</v>
      </c>
      <c r="I6" s="51">
        <f t="shared" si="1"/>
        <v>110</v>
      </c>
      <c r="J6" s="51" t="s">
        <v>89</v>
      </c>
      <c r="K6" s="51" t="s">
        <v>89</v>
      </c>
    </row>
    <row r="7" spans="1:11">
      <c r="A7" s="48">
        <v>44762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110</v>
      </c>
      <c r="I7" s="51">
        <f t="shared" si="1"/>
        <v>0</v>
      </c>
      <c r="J7" s="51" t="s">
        <v>89</v>
      </c>
      <c r="K7" s="51" t="s">
        <v>89</v>
      </c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40"/>
      <c r="F48" s="40">
        <f>SUBTOTAL(109,テーブル13121314151617181920212223242728293031323334[仕入金額])</f>
        <v>712800</v>
      </c>
      <c r="G48" s="40"/>
      <c r="H48" s="40">
        <f>SUBTOTAL(109,テーブル13121314151617181920212223242728293031323334[支払金額])</f>
        <v>712800</v>
      </c>
      <c r="I48" s="40">
        <f>テーブル13121314151617181920212223242728293031323334[[#Totals],[仕入金額]]-テーブル13121314151617181920212223242728293031323334[[#Totals],[支払金額]]</f>
        <v>0</v>
      </c>
      <c r="J48" s="40"/>
      <c r="K48" s="41">
        <f>SUBTOTAL(103,テーブル13121314151617181920212223242728293031323334[裕子])</f>
        <v>6</v>
      </c>
    </row>
  </sheetData>
  <phoneticPr fontId="1"/>
  <dataValidations count="4">
    <dataValidation type="list" allowBlank="1" showInputMessage="1" showErrorMessage="1" sqref="G49:G61" xr:uid="{90DEFB56-7058-4AC7-8D1C-72083C49CF07}">
      <formula1>",合銀1,合銀,島銀,振込手数,    "</formula1>
    </dataValidation>
    <dataValidation type="list" allowBlank="1" showInputMessage="1" showErrorMessage="1" sqref="J2:K47" xr:uid="{D0948D7B-0011-4F64-9D2D-32DB61D4ACB9}">
      <formula1>"  ,済"</formula1>
    </dataValidation>
    <dataValidation type="list" allowBlank="1" showInputMessage="1" showErrorMessage="1" sqref="B2:B47" xr:uid="{43E7C1DB-B7E7-4B7A-9967-8AE5466A7F56}">
      <formula1>"田原,田中,高木,勝田,森山,市村,金築,その他"</formula1>
    </dataValidation>
    <dataValidation type="list" allowBlank="1" showInputMessage="1" showErrorMessage="1" sqref="G2:G47" xr:uid="{2AB3C1A8-5F0D-4F48-A1F1-31C2071F283C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&amp;C本田技建</oddHeader>
  </headerFooter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EE069-C083-4EC1-80EF-49EA4FB7AC1E}">
  <sheetPr codeName="Sheet34">
    <tabColor theme="7" tint="0.39997558519241921"/>
  </sheetPr>
  <dimension ref="A1:L48"/>
  <sheetViews>
    <sheetView workbookViewId="0">
      <pane ySplit="1" topLeftCell="A7" activePane="bottomLeft" state="frozen"/>
      <selection pane="bottomLeft" activeCell="N15" sqref="N15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2">
      <c r="A2" s="3"/>
      <c r="B2" s="2"/>
      <c r="C2" s="2" t="s">
        <v>121</v>
      </c>
      <c r="D2" s="2">
        <v>1</v>
      </c>
      <c r="E2" s="30">
        <v>50192</v>
      </c>
      <c r="F2" s="30">
        <f>D2*E2</f>
        <v>50192</v>
      </c>
      <c r="G2" s="30"/>
      <c r="H2" s="30"/>
      <c r="I2" s="30">
        <f>F2-H2</f>
        <v>50192</v>
      </c>
      <c r="J2" s="30"/>
      <c r="K2" s="31" t="s">
        <v>89</v>
      </c>
      <c r="L2" s="39"/>
    </row>
    <row r="3" spans="1:12">
      <c r="A3" s="4">
        <v>44671</v>
      </c>
      <c r="B3" s="2"/>
      <c r="C3" s="1"/>
      <c r="D3" s="1"/>
      <c r="E3" s="32"/>
      <c r="F3" s="32">
        <f t="shared" ref="F3:F47" si="0">D3*E3</f>
        <v>0</v>
      </c>
      <c r="G3" s="30" t="s">
        <v>90</v>
      </c>
      <c r="H3" s="32">
        <v>50082</v>
      </c>
      <c r="I3" s="32">
        <f>I2+F3-H3</f>
        <v>110</v>
      </c>
      <c r="J3" s="32" t="s">
        <v>89</v>
      </c>
      <c r="K3" s="31" t="s">
        <v>89</v>
      </c>
      <c r="L3" s="39"/>
    </row>
    <row r="4" spans="1:12">
      <c r="A4" s="4">
        <v>44671</v>
      </c>
      <c r="B4" s="2"/>
      <c r="C4" s="1"/>
      <c r="D4" s="1"/>
      <c r="E4" s="32"/>
      <c r="F4" s="32">
        <f t="shared" si="0"/>
        <v>0</v>
      </c>
      <c r="G4" s="30" t="s">
        <v>91</v>
      </c>
      <c r="H4" s="32">
        <v>110</v>
      </c>
      <c r="I4" s="32">
        <f t="shared" ref="I4:I47" si="1">I3+F4-H4</f>
        <v>0</v>
      </c>
      <c r="J4" s="32" t="s">
        <v>89</v>
      </c>
      <c r="K4" s="31" t="s">
        <v>89</v>
      </c>
      <c r="L4" s="39"/>
    </row>
    <row r="5" spans="1:12">
      <c r="A5" s="4">
        <v>44671</v>
      </c>
      <c r="B5" s="2"/>
      <c r="C5" s="1" t="s">
        <v>118</v>
      </c>
      <c r="D5" s="1">
        <v>1</v>
      </c>
      <c r="E5" s="32">
        <v>45022</v>
      </c>
      <c r="F5" s="32">
        <f t="shared" si="0"/>
        <v>45022</v>
      </c>
      <c r="G5" s="30"/>
      <c r="H5" s="32"/>
      <c r="I5" s="32">
        <f t="shared" si="1"/>
        <v>45022</v>
      </c>
      <c r="J5" s="32" t="s">
        <v>89</v>
      </c>
      <c r="K5" s="31" t="s">
        <v>89</v>
      </c>
      <c r="L5" s="39"/>
    </row>
    <row r="6" spans="1:12">
      <c r="A6" s="48">
        <v>44701</v>
      </c>
      <c r="B6" s="49"/>
      <c r="C6" s="50"/>
      <c r="D6" s="50"/>
      <c r="E6" s="51"/>
      <c r="F6" s="51">
        <f t="shared" si="0"/>
        <v>0</v>
      </c>
      <c r="G6" s="52" t="s">
        <v>90</v>
      </c>
      <c r="H6" s="51">
        <v>44912</v>
      </c>
      <c r="I6" s="51">
        <f t="shared" si="1"/>
        <v>110</v>
      </c>
      <c r="J6" s="51" t="s">
        <v>89</v>
      </c>
      <c r="K6" s="53" t="s">
        <v>89</v>
      </c>
      <c r="L6" s="39"/>
    </row>
    <row r="7" spans="1:12">
      <c r="A7" s="48">
        <v>44701</v>
      </c>
      <c r="B7" s="49"/>
      <c r="C7" s="50"/>
      <c r="D7" s="50"/>
      <c r="E7" s="51"/>
      <c r="F7" s="51">
        <f t="shared" si="0"/>
        <v>0</v>
      </c>
      <c r="G7" s="52" t="s">
        <v>91</v>
      </c>
      <c r="H7" s="51">
        <v>110</v>
      </c>
      <c r="I7" s="51">
        <f t="shared" si="1"/>
        <v>0</v>
      </c>
      <c r="J7" s="51" t="s">
        <v>89</v>
      </c>
      <c r="K7" s="53" t="s">
        <v>89</v>
      </c>
      <c r="L7" s="39"/>
    </row>
    <row r="8" spans="1:12">
      <c r="A8" s="4">
        <v>44732</v>
      </c>
      <c r="B8" s="2"/>
      <c r="C8" s="1" t="s">
        <v>118</v>
      </c>
      <c r="D8" s="1">
        <v>1</v>
      </c>
      <c r="E8" s="32">
        <v>54922</v>
      </c>
      <c r="F8" s="32">
        <f t="shared" si="0"/>
        <v>54922</v>
      </c>
      <c r="G8" s="30"/>
      <c r="H8" s="32"/>
      <c r="I8" s="32">
        <f t="shared" si="1"/>
        <v>54922</v>
      </c>
      <c r="J8" s="32" t="s">
        <v>89</v>
      </c>
      <c r="K8" s="32" t="s">
        <v>89</v>
      </c>
      <c r="L8" s="39"/>
    </row>
    <row r="9" spans="1:12">
      <c r="A9" s="4">
        <v>44732</v>
      </c>
      <c r="B9" s="2" t="s">
        <v>101</v>
      </c>
      <c r="C9" s="1"/>
      <c r="D9" s="1">
        <v>1</v>
      </c>
      <c r="E9" s="32">
        <v>57232</v>
      </c>
      <c r="F9" s="32">
        <f t="shared" si="0"/>
        <v>57232</v>
      </c>
      <c r="G9" s="30"/>
      <c r="H9" s="32"/>
      <c r="I9" s="32">
        <f t="shared" si="1"/>
        <v>112154</v>
      </c>
      <c r="J9" s="32" t="s">
        <v>89</v>
      </c>
      <c r="K9" s="32" t="s">
        <v>89</v>
      </c>
      <c r="L9" s="39"/>
    </row>
    <row r="10" spans="1:12">
      <c r="A10" s="4">
        <v>44732</v>
      </c>
      <c r="B10" s="2" t="s">
        <v>104</v>
      </c>
      <c r="C10" s="1"/>
      <c r="D10" s="1">
        <v>1</v>
      </c>
      <c r="E10" s="32">
        <v>55417</v>
      </c>
      <c r="F10" s="32">
        <f t="shared" si="0"/>
        <v>55417</v>
      </c>
      <c r="G10" s="30"/>
      <c r="H10" s="32"/>
      <c r="I10" s="32">
        <f t="shared" si="1"/>
        <v>167571</v>
      </c>
      <c r="J10" s="32" t="s">
        <v>89</v>
      </c>
      <c r="K10" s="32" t="s">
        <v>89</v>
      </c>
      <c r="L10" s="39"/>
    </row>
    <row r="11" spans="1:12">
      <c r="A11" s="48">
        <v>44762</v>
      </c>
      <c r="B11" s="49"/>
      <c r="C11" s="50"/>
      <c r="D11" s="50"/>
      <c r="E11" s="51"/>
      <c r="F11" s="51">
        <f t="shared" si="0"/>
        <v>0</v>
      </c>
      <c r="G11" s="52" t="s">
        <v>90</v>
      </c>
      <c r="H11" s="51">
        <v>167461</v>
      </c>
      <c r="I11" s="51">
        <f t="shared" si="1"/>
        <v>110</v>
      </c>
      <c r="J11" s="51" t="s">
        <v>89</v>
      </c>
      <c r="K11" s="51" t="s">
        <v>89</v>
      </c>
      <c r="L11" s="39"/>
    </row>
    <row r="12" spans="1:12">
      <c r="A12" s="48">
        <v>44762</v>
      </c>
      <c r="B12" s="49"/>
      <c r="C12" s="50"/>
      <c r="D12" s="50"/>
      <c r="E12" s="51"/>
      <c r="F12" s="51">
        <f t="shared" si="0"/>
        <v>0</v>
      </c>
      <c r="G12" s="52" t="s">
        <v>91</v>
      </c>
      <c r="H12" s="51">
        <v>110</v>
      </c>
      <c r="I12" s="51">
        <f t="shared" si="1"/>
        <v>0</v>
      </c>
      <c r="J12" s="51" t="s">
        <v>89</v>
      </c>
      <c r="K12" s="51" t="s">
        <v>89</v>
      </c>
      <c r="L12" s="39"/>
    </row>
    <row r="13" spans="1:12">
      <c r="A13" s="4">
        <v>44762</v>
      </c>
      <c r="B13" s="2" t="s">
        <v>101</v>
      </c>
      <c r="C13" s="1"/>
      <c r="D13" s="1">
        <v>1</v>
      </c>
      <c r="E13" s="32">
        <v>44912</v>
      </c>
      <c r="F13" s="32">
        <f t="shared" si="0"/>
        <v>44912</v>
      </c>
      <c r="G13" s="30"/>
      <c r="H13" s="32"/>
      <c r="I13" s="32">
        <f t="shared" si="1"/>
        <v>44912</v>
      </c>
      <c r="J13" s="32" t="s">
        <v>89</v>
      </c>
      <c r="K13" s="32" t="s">
        <v>89</v>
      </c>
      <c r="L13" s="39"/>
    </row>
    <row r="14" spans="1:12">
      <c r="A14" s="4">
        <v>44762</v>
      </c>
      <c r="B14" s="2" t="s">
        <v>104</v>
      </c>
      <c r="C14" s="1"/>
      <c r="D14" s="1">
        <v>1</v>
      </c>
      <c r="E14" s="32">
        <v>55142</v>
      </c>
      <c r="F14" s="32">
        <f t="shared" si="0"/>
        <v>55142</v>
      </c>
      <c r="G14" s="30"/>
      <c r="H14" s="32"/>
      <c r="I14" s="32">
        <f t="shared" si="1"/>
        <v>100054</v>
      </c>
      <c r="J14" s="32" t="s">
        <v>89</v>
      </c>
      <c r="K14" s="32" t="s">
        <v>89</v>
      </c>
      <c r="L14" s="39"/>
    </row>
    <row r="15" spans="1:12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100054</v>
      </c>
      <c r="J15" s="32"/>
      <c r="K15" s="31"/>
      <c r="L15" s="39"/>
    </row>
    <row r="16" spans="1:12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100054</v>
      </c>
      <c r="J16" s="32"/>
      <c r="K16" s="31"/>
      <c r="L16" s="39"/>
    </row>
    <row r="17" spans="1:12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100054</v>
      </c>
      <c r="J17" s="32"/>
      <c r="K17" s="31"/>
      <c r="L17" s="39"/>
    </row>
    <row r="18" spans="1:12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100054</v>
      </c>
      <c r="J18" s="32"/>
      <c r="K18" s="31"/>
      <c r="L18" s="39"/>
    </row>
    <row r="19" spans="1:12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100054</v>
      </c>
      <c r="J19" s="32"/>
      <c r="K19" s="31"/>
      <c r="L19" s="39"/>
    </row>
    <row r="20" spans="1:12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100054</v>
      </c>
      <c r="J20" s="32"/>
      <c r="K20" s="31"/>
      <c r="L20" s="39"/>
    </row>
    <row r="21" spans="1:12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100054</v>
      </c>
      <c r="J21" s="32"/>
      <c r="K21" s="31"/>
      <c r="L21" s="39"/>
    </row>
    <row r="22" spans="1:12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100054</v>
      </c>
      <c r="J22" s="32"/>
      <c r="K22" s="31"/>
      <c r="L22" s="39"/>
    </row>
    <row r="23" spans="1:12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100054</v>
      </c>
      <c r="J23" s="32"/>
      <c r="K23" s="31"/>
      <c r="L23" s="39"/>
    </row>
    <row r="24" spans="1:12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100054</v>
      </c>
      <c r="J24" s="32"/>
      <c r="K24" s="31"/>
      <c r="L24" s="39"/>
    </row>
    <row r="25" spans="1:12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100054</v>
      </c>
      <c r="J25" s="32"/>
      <c r="K25" s="31"/>
      <c r="L25" s="39"/>
    </row>
    <row r="26" spans="1:12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100054</v>
      </c>
      <c r="J26" s="32"/>
      <c r="K26" s="31"/>
      <c r="L26" s="39"/>
    </row>
    <row r="27" spans="1:12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100054</v>
      </c>
      <c r="J27" s="32"/>
      <c r="K27" s="31"/>
      <c r="L27" s="39"/>
    </row>
    <row r="28" spans="1:12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100054</v>
      </c>
      <c r="J28" s="32"/>
      <c r="K28" s="31"/>
      <c r="L28" s="39"/>
    </row>
    <row r="29" spans="1:12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100054</v>
      </c>
      <c r="J29" s="32"/>
      <c r="K29" s="31"/>
      <c r="L29" s="39"/>
    </row>
    <row r="30" spans="1:12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100054</v>
      </c>
      <c r="J30" s="32"/>
      <c r="K30" s="31"/>
      <c r="L30" s="39"/>
    </row>
    <row r="31" spans="1:12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100054</v>
      </c>
      <c r="J31" s="32"/>
      <c r="K31" s="31"/>
      <c r="L31" s="39"/>
    </row>
    <row r="32" spans="1:12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100054</v>
      </c>
      <c r="J32" s="32"/>
      <c r="K32" s="31"/>
      <c r="L32" s="39"/>
    </row>
    <row r="33" spans="1:12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100054</v>
      </c>
      <c r="J33" s="32"/>
      <c r="K33" s="31"/>
      <c r="L33" s="39"/>
    </row>
    <row r="34" spans="1:12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100054</v>
      </c>
      <c r="J34" s="32"/>
      <c r="K34" s="31"/>
      <c r="L34" s="39"/>
    </row>
    <row r="35" spans="1:12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100054</v>
      </c>
      <c r="J35" s="32"/>
      <c r="K35" s="31"/>
      <c r="L35" s="39"/>
    </row>
    <row r="36" spans="1:12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100054</v>
      </c>
      <c r="J36" s="32"/>
      <c r="K36" s="31"/>
      <c r="L36" s="39"/>
    </row>
    <row r="37" spans="1:12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100054</v>
      </c>
      <c r="J37" s="32"/>
      <c r="K37" s="31"/>
      <c r="L37" s="39"/>
    </row>
    <row r="38" spans="1:12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100054</v>
      </c>
      <c r="J38" s="32"/>
      <c r="K38" s="31"/>
      <c r="L38" s="39"/>
    </row>
    <row r="39" spans="1:12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100054</v>
      </c>
      <c r="J39" s="32"/>
      <c r="K39" s="31"/>
      <c r="L39" s="39"/>
    </row>
    <row r="40" spans="1:12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100054</v>
      </c>
      <c r="J40" s="32"/>
      <c r="K40" s="31"/>
      <c r="L40" s="39"/>
    </row>
    <row r="41" spans="1:12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100054</v>
      </c>
      <c r="J41" s="32"/>
      <c r="K41" s="31"/>
      <c r="L41" s="39"/>
    </row>
    <row r="42" spans="1:12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100054</v>
      </c>
      <c r="J42" s="32"/>
      <c r="K42" s="31"/>
      <c r="L42" s="39"/>
    </row>
    <row r="43" spans="1:12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100054</v>
      </c>
      <c r="J43" s="32"/>
      <c r="K43" s="31"/>
      <c r="L43" s="39"/>
    </row>
    <row r="44" spans="1:12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100054</v>
      </c>
      <c r="J44" s="32"/>
      <c r="K44" s="31"/>
      <c r="L44" s="39"/>
    </row>
    <row r="45" spans="1:12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100054</v>
      </c>
      <c r="J45" s="32"/>
      <c r="K45" s="31"/>
      <c r="L45" s="39"/>
    </row>
    <row r="46" spans="1:12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100054</v>
      </c>
      <c r="J46" s="32"/>
      <c r="K46" s="31"/>
      <c r="L46" s="39"/>
    </row>
    <row r="47" spans="1:12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100054</v>
      </c>
      <c r="J47" s="37"/>
      <c r="K47" s="38"/>
      <c r="L47" s="39"/>
    </row>
    <row r="48" spans="1:12">
      <c r="A48" s="16" t="s">
        <v>86</v>
      </c>
      <c r="B48" s="9"/>
      <c r="C48" s="9"/>
      <c r="D48" s="9"/>
      <c r="E48" s="40"/>
      <c r="F48" s="40">
        <f>SUBTOTAL(109,テーブル1312131415161718192021222324272829303132333435[仕入金額])</f>
        <v>362839</v>
      </c>
      <c r="G48" s="40"/>
      <c r="H48" s="40">
        <f>SUBTOTAL(109,テーブル1312131415161718192021222324272829303132333435[支払金額])</f>
        <v>262785</v>
      </c>
      <c r="I48" s="40">
        <f>テーブル1312131415161718192021222324272829303132333435[[#Totals],[仕入金額]]-テーブル1312131415161718192021222324272829303132333435[[#Totals],[支払金額]]</f>
        <v>100054</v>
      </c>
      <c r="J48" s="40"/>
      <c r="K48" s="41">
        <f>SUBTOTAL(103,テーブル1312131415161718192021222324272829303132333435[裕子])</f>
        <v>13</v>
      </c>
      <c r="L48" s="39"/>
    </row>
  </sheetData>
  <phoneticPr fontId="1"/>
  <dataValidations count="4">
    <dataValidation type="list" allowBlank="1" showInputMessage="1" showErrorMessage="1" sqref="G2:G47" xr:uid="{A824B31C-21C7-46D5-9A64-9A1713D7A16A}">
      <formula1>",合銀1,合銀,島銀,現金,振込手数,値引"</formula1>
    </dataValidation>
    <dataValidation type="list" allowBlank="1" showInputMessage="1" showErrorMessage="1" sqref="B2:B47" xr:uid="{0E9EACB4-0A58-4215-B6D0-A0E0EE96F480}">
      <formula1>"田原,田中,高木,勝田,森山,市村,金築,その他"</formula1>
    </dataValidation>
    <dataValidation type="list" allowBlank="1" showInputMessage="1" showErrorMessage="1" sqref="J2:K47" xr:uid="{C22298CA-6DB2-405A-A715-598036024AE4}">
      <formula1>"  ,済"</formula1>
    </dataValidation>
    <dataValidation type="list" allowBlank="1" showInputMessage="1" showErrorMessage="1" sqref="G49:G61" xr:uid="{54493C3E-A041-4619-9C25-BD2DEE9033B6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&amp;Cまるふく商事（株）</oddHeader>
  </headerFooter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00D8-87D8-42E1-9393-A566AD5AFD0C}">
  <sheetPr codeName="Sheet35">
    <tabColor theme="7" tint="0.39997558519241921"/>
  </sheetPr>
  <dimension ref="A1:K48"/>
  <sheetViews>
    <sheetView workbookViewId="0">
      <pane ySplit="1" topLeftCell="A2" activePane="bottomLeft" state="frozen"/>
      <selection pane="bottomLeft" activeCell="J4" sqref="J4:K4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44671</v>
      </c>
      <c r="B2" s="2" t="s">
        <v>97</v>
      </c>
      <c r="C2" s="2" t="s">
        <v>133</v>
      </c>
      <c r="D2" s="2">
        <v>1</v>
      </c>
      <c r="E2" s="30">
        <v>25300</v>
      </c>
      <c r="F2" s="30">
        <f>D2*E2</f>
        <v>25300</v>
      </c>
      <c r="G2" s="30"/>
      <c r="H2" s="30"/>
      <c r="I2" s="30">
        <f>F2-H2</f>
        <v>25300</v>
      </c>
      <c r="J2" s="30"/>
      <c r="K2" s="31" t="s">
        <v>89</v>
      </c>
    </row>
    <row r="3" spans="1:11">
      <c r="A3" s="48">
        <v>44701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25300</v>
      </c>
      <c r="I3" s="51">
        <f>I2+F3-H3</f>
        <v>0</v>
      </c>
      <c r="J3" s="51" t="s">
        <v>89</v>
      </c>
      <c r="K3" s="53" t="s">
        <v>89</v>
      </c>
    </row>
    <row r="4" spans="1:11">
      <c r="A4" s="4">
        <v>44762</v>
      </c>
      <c r="B4" s="2" t="s">
        <v>101</v>
      </c>
      <c r="C4" s="1" t="s">
        <v>134</v>
      </c>
      <c r="D4" s="1">
        <v>1</v>
      </c>
      <c r="E4" s="32">
        <v>685300</v>
      </c>
      <c r="F4" s="32">
        <f t="shared" si="0"/>
        <v>685300</v>
      </c>
      <c r="G4" s="30"/>
      <c r="H4" s="32"/>
      <c r="I4" s="32">
        <f t="shared" ref="I4:I47" si="1">I3+F4-H4</f>
        <v>685300</v>
      </c>
      <c r="J4" s="32" t="s">
        <v>89</v>
      </c>
      <c r="K4" s="32" t="s">
        <v>89</v>
      </c>
    </row>
    <row r="5" spans="1:11">
      <c r="A5" s="4"/>
      <c r="B5" s="2"/>
      <c r="C5" s="1"/>
      <c r="D5" s="1"/>
      <c r="E5" s="32"/>
      <c r="F5" s="32">
        <f t="shared" si="0"/>
        <v>0</v>
      </c>
      <c r="G5" s="30"/>
      <c r="H5" s="32"/>
      <c r="I5" s="32">
        <f t="shared" si="1"/>
        <v>685300</v>
      </c>
      <c r="J5" s="32"/>
      <c r="K5" s="31"/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685300</v>
      </c>
      <c r="J6" s="32"/>
      <c r="K6" s="31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685300</v>
      </c>
      <c r="J7" s="32"/>
      <c r="K7" s="31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685300</v>
      </c>
      <c r="J8" s="32"/>
      <c r="K8" s="31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685300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685300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685300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685300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685300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685300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685300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685300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685300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685300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685300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685300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685300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685300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685300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685300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685300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685300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685300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685300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685300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685300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685300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685300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685300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685300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685300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685300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685300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685300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685300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685300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685300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685300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685300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685300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685300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685300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685300</v>
      </c>
      <c r="J47" s="37"/>
      <c r="K47" s="38"/>
    </row>
    <row r="48" spans="1:11">
      <c r="A48" s="16" t="s">
        <v>86</v>
      </c>
      <c r="B48" s="9"/>
      <c r="C48" s="9"/>
      <c r="D48" s="9"/>
      <c r="E48" s="40"/>
      <c r="F48" s="40">
        <f>SUBTOTAL(109,テーブル131213141516171819202122232427282930313233343536[仕入金額])</f>
        <v>710600</v>
      </c>
      <c r="G48" s="40"/>
      <c r="H48" s="40">
        <f>SUBTOTAL(109,テーブル131213141516171819202122232427282930313233343536[支払金額])</f>
        <v>25300</v>
      </c>
      <c r="I48" s="40">
        <f>テーブル131213141516171819202122232427282930313233343536[[#Totals],[仕入金額]]-テーブル131213141516171819202122232427282930313233343536[[#Totals],[支払金額]]</f>
        <v>685300</v>
      </c>
      <c r="J48" s="40"/>
      <c r="K48" s="41">
        <f>SUBTOTAL(103,テーブル131213141516171819202122232427282930313233343536[裕子])</f>
        <v>3</v>
      </c>
    </row>
  </sheetData>
  <phoneticPr fontId="1"/>
  <dataValidations count="4">
    <dataValidation type="list" allowBlank="1" showInputMessage="1" showErrorMessage="1" sqref="G49:G61" xr:uid="{9DB61F6C-1E31-4759-B155-B697A7742D90}">
      <formula1>",合銀1,合銀,島銀,振込手数,    "</formula1>
    </dataValidation>
    <dataValidation type="list" allowBlank="1" showInputMessage="1" showErrorMessage="1" sqref="J2:K47" xr:uid="{895BC2DC-CE2C-4EDA-941E-067D390259D6}">
      <formula1>"  ,済"</formula1>
    </dataValidation>
    <dataValidation type="list" allowBlank="1" showInputMessage="1" showErrorMessage="1" sqref="B2:B47" xr:uid="{4B759826-1D9B-4FC0-8CB1-7DFB78DCBA8C}">
      <formula1>"田原,田中,高木,勝田,森山,市村,金築,その他"</formula1>
    </dataValidation>
    <dataValidation type="list" allowBlank="1" showInputMessage="1" showErrorMessage="1" sqref="G2:G47" xr:uid="{2FF9D633-1215-4F74-BD19-919BEBA3B812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&amp;Cミヤジキ板金</oddHeader>
  </headerFooter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948D9-07B7-46F6-8179-793CA2EF3FDA}">
  <sheetPr codeName="Sheet36">
    <tabColor theme="7" tint="0.39997558519241921"/>
  </sheetPr>
  <dimension ref="A1:K48"/>
  <sheetViews>
    <sheetView workbookViewId="0">
      <pane ySplit="1" topLeftCell="A2" activePane="bottomLeft" state="frozen"/>
      <selection pane="bottomLeft" activeCell="O6" sqref="O6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121</v>
      </c>
      <c r="D2" s="2">
        <v>1</v>
      </c>
      <c r="E2" s="30">
        <v>104500</v>
      </c>
      <c r="F2" s="30">
        <f>D2*E2</f>
        <v>104500</v>
      </c>
      <c r="G2" s="30"/>
      <c r="H2" s="30"/>
      <c r="I2" s="30">
        <f>F2-H2</f>
        <v>104500</v>
      </c>
      <c r="J2" s="30" t="s">
        <v>89</v>
      </c>
      <c r="K2" s="31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104500</v>
      </c>
      <c r="I3" s="51">
        <f>I2+F3-H3</f>
        <v>0</v>
      </c>
      <c r="J3" s="51" t="s">
        <v>89</v>
      </c>
      <c r="K3" s="53" t="s">
        <v>89</v>
      </c>
    </row>
    <row r="4" spans="1:11">
      <c r="A4" s="4">
        <v>44671</v>
      </c>
      <c r="B4" s="2" t="s">
        <v>97</v>
      </c>
      <c r="C4" s="1" t="s">
        <v>129</v>
      </c>
      <c r="D4" s="1">
        <v>1</v>
      </c>
      <c r="E4" s="32">
        <v>55000</v>
      </c>
      <c r="F4" s="32">
        <f t="shared" si="0"/>
        <v>55000</v>
      </c>
      <c r="G4" s="30"/>
      <c r="H4" s="32"/>
      <c r="I4" s="32">
        <f t="shared" ref="I4:I47" si="1">I3+F4-H4</f>
        <v>55000</v>
      </c>
      <c r="J4" s="32" t="s">
        <v>89</v>
      </c>
      <c r="K4" s="31" t="s">
        <v>89</v>
      </c>
    </row>
    <row r="5" spans="1:11">
      <c r="A5" s="48">
        <v>44701</v>
      </c>
      <c r="B5" s="49"/>
      <c r="C5" s="50"/>
      <c r="D5" s="50"/>
      <c r="E5" s="51"/>
      <c r="F5" s="51">
        <f t="shared" si="0"/>
        <v>0</v>
      </c>
      <c r="G5" s="52" t="s">
        <v>90</v>
      </c>
      <c r="H5" s="51">
        <v>55000</v>
      </c>
      <c r="I5" s="51">
        <f t="shared" si="1"/>
        <v>0</v>
      </c>
      <c r="J5" s="51" t="s">
        <v>89</v>
      </c>
      <c r="K5" s="53" t="s">
        <v>89</v>
      </c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35"/>
      <c r="F48" s="35">
        <f>SUBTOTAL(109,テーブル13121314151617181920212223242728293031323334353637[仕入金額])</f>
        <v>159500</v>
      </c>
      <c r="G48" s="35"/>
      <c r="H48" s="35">
        <f>SUBTOTAL(109,テーブル13121314151617181920212223242728293031323334353637[支払金額])</f>
        <v>159500</v>
      </c>
      <c r="I48" s="35">
        <f>テーブル13121314151617181920212223242728293031323334353637[[#Totals],[仕入金額]]-テーブル13121314151617181920212223242728293031323334353637[[#Totals],[支払金額]]</f>
        <v>0</v>
      </c>
      <c r="J48" s="35"/>
      <c r="K48" s="36">
        <f>SUBTOTAL(103,テーブル13121314151617181920212223242728293031323334353637[裕子])</f>
        <v>4</v>
      </c>
    </row>
  </sheetData>
  <phoneticPr fontId="1"/>
  <dataValidations count="4">
    <dataValidation type="list" allowBlank="1" showInputMessage="1" showErrorMessage="1" sqref="G2:G47" xr:uid="{0BF9C049-8C8E-4283-9A6E-AB4465D8B0AD}">
      <formula1>",合銀1,合銀,島銀,現金,振込手数,値引"</formula1>
    </dataValidation>
    <dataValidation type="list" allowBlank="1" showInputMessage="1" showErrorMessage="1" sqref="B2:B47" xr:uid="{9CCC971E-8C73-4753-8220-2370C7909C2D}">
      <formula1>"田原,田中,高木,勝田,森山,市村,金築,その他"</formula1>
    </dataValidation>
    <dataValidation type="list" allowBlank="1" showInputMessage="1" showErrorMessage="1" sqref="J2:K47" xr:uid="{6C778ABA-BDF5-486C-9485-F9F03E8CFAD3}">
      <formula1>"  ,済"</formula1>
    </dataValidation>
    <dataValidation type="list" allowBlank="1" showInputMessage="1" showErrorMessage="1" sqref="G49:G61" xr:uid="{A5B584B1-2397-472F-89CC-9A3AD00037A6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&amp;Cムニリペア</oddHeader>
  </headerFooter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285F6-B118-498C-9FD4-A79BC20F4971}">
  <sheetPr codeName="Sheet37">
    <tabColor theme="7" tint="0.39997558519241921"/>
  </sheetPr>
  <dimension ref="A1:K48"/>
  <sheetViews>
    <sheetView workbookViewId="0">
      <pane ySplit="1" topLeftCell="A2" activePane="bottomLeft" state="frozen"/>
      <selection pane="bottomLeft" activeCell="N2" sqref="N2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121</v>
      </c>
      <c r="D2" s="2">
        <v>1</v>
      </c>
      <c r="E2" s="30">
        <v>60216</v>
      </c>
      <c r="F2" s="30">
        <f>D2*E2</f>
        <v>60216</v>
      </c>
      <c r="G2" s="30"/>
      <c r="H2" s="30"/>
      <c r="I2" s="30">
        <f>F2-H2</f>
        <v>60216</v>
      </c>
      <c r="J2" s="30"/>
      <c r="K2" s="31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60216</v>
      </c>
      <c r="I3" s="51">
        <f>I2+F3-H3</f>
        <v>0</v>
      </c>
      <c r="J3" s="51" t="s">
        <v>89</v>
      </c>
      <c r="K3" s="53" t="s">
        <v>89</v>
      </c>
    </row>
    <row r="4" spans="1:11">
      <c r="A4" s="4">
        <v>44671</v>
      </c>
      <c r="B4" s="2" t="s">
        <v>95</v>
      </c>
      <c r="C4" s="1"/>
      <c r="D4" s="1">
        <v>1</v>
      </c>
      <c r="E4" s="32">
        <v>56700</v>
      </c>
      <c r="F4" s="32">
        <f t="shared" si="0"/>
        <v>56700</v>
      </c>
      <c r="G4" s="30"/>
      <c r="H4" s="32"/>
      <c r="I4" s="32">
        <f t="shared" ref="I4:I47" si="1">I3+F4-H4</f>
        <v>56700</v>
      </c>
      <c r="J4" s="32" t="s">
        <v>89</v>
      </c>
      <c r="K4" s="31" t="s">
        <v>89</v>
      </c>
    </row>
    <row r="5" spans="1:11">
      <c r="A5" s="48">
        <v>44701</v>
      </c>
      <c r="B5" s="49"/>
      <c r="C5" s="50"/>
      <c r="D5" s="50"/>
      <c r="E5" s="51"/>
      <c r="F5" s="51">
        <f t="shared" si="0"/>
        <v>0</v>
      </c>
      <c r="G5" s="52" t="s">
        <v>90</v>
      </c>
      <c r="H5" s="51">
        <v>56700</v>
      </c>
      <c r="I5" s="51">
        <f t="shared" si="1"/>
        <v>0</v>
      </c>
      <c r="J5" s="51" t="s">
        <v>89</v>
      </c>
      <c r="K5" s="53" t="s">
        <v>89</v>
      </c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35"/>
      <c r="F48" s="35">
        <f>SUBTOTAL(109,テーブル1312131415161718192021222324272829303132333435363738[仕入金額])</f>
        <v>116916</v>
      </c>
      <c r="G48" s="35"/>
      <c r="H48" s="35">
        <f>SUBTOTAL(109,テーブル1312131415161718192021222324272829303132333435363738[支払金額])</f>
        <v>116916</v>
      </c>
      <c r="I48" s="35">
        <f>テーブル1312131415161718192021222324272829303132333435363738[[#Totals],[仕入金額]]-テーブル1312131415161718192021222324272829303132333435363738[[#Totals],[支払金額]]</f>
        <v>0</v>
      </c>
      <c r="J48" s="35"/>
      <c r="K48" s="36">
        <f>SUBTOTAL(103,テーブル1312131415161718192021222324272829303132333435363738[裕子])</f>
        <v>4</v>
      </c>
    </row>
  </sheetData>
  <phoneticPr fontId="1"/>
  <dataValidations count="4">
    <dataValidation type="list" allowBlank="1" showInputMessage="1" showErrorMessage="1" sqref="G49:G61" xr:uid="{8BA48199-0699-4A38-83A6-5FF087B98696}">
      <formula1>",合銀1,合銀,島銀,振込手数,    "</formula1>
    </dataValidation>
    <dataValidation type="list" allowBlank="1" showInputMessage="1" showErrorMessage="1" sqref="J2:K47" xr:uid="{272DF2C1-B13A-46A1-8027-8EC833942E58}">
      <formula1>"  ,済"</formula1>
    </dataValidation>
    <dataValidation type="list" allowBlank="1" showInputMessage="1" showErrorMessage="1" sqref="B2:B47" xr:uid="{127482EF-5506-405A-99EF-2D68C5B4A65B}">
      <formula1>"田原,田中,高木,勝田,森山,市村,金築,その他"</formula1>
    </dataValidation>
    <dataValidation type="list" allowBlank="1" showInputMessage="1" showErrorMessage="1" sqref="G2:G47" xr:uid="{ADB6C1BA-97EA-4E5F-AF52-F39606FA441E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&amp;C持田土地家屋調査士</oddHeader>
  </headerFooter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EF09B-C327-4C72-9B9E-1C16A266961C}">
  <sheetPr codeName="Sheet38">
    <tabColor theme="7" tint="0.39997558519241921"/>
  </sheetPr>
  <dimension ref="A1:K48"/>
  <sheetViews>
    <sheetView workbookViewId="0">
      <pane ySplit="1" topLeftCell="A2" activePane="bottomLeft" state="frozen"/>
      <selection pane="bottomLeft" activeCell="J9" sqref="J9:K10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 t="s">
        <v>121</v>
      </c>
      <c r="D2" s="2">
        <v>1</v>
      </c>
      <c r="E2" s="30">
        <v>107000</v>
      </c>
      <c r="F2" s="30">
        <f>D2*E2</f>
        <v>107000</v>
      </c>
      <c r="G2" s="30"/>
      <c r="H2" s="30"/>
      <c r="I2" s="30">
        <f>F2-H2</f>
        <v>107000</v>
      </c>
      <c r="J2" s="30"/>
      <c r="K2" s="31" t="s">
        <v>89</v>
      </c>
    </row>
    <row r="3" spans="1:11">
      <c r="A3" s="48">
        <v>44671</v>
      </c>
      <c r="B3" s="49"/>
      <c r="C3" s="50"/>
      <c r="D3" s="50"/>
      <c r="E3" s="51"/>
      <c r="F3" s="51">
        <f t="shared" ref="F3:F47" si="0">D3*E3</f>
        <v>0</v>
      </c>
      <c r="G3" s="52" t="s">
        <v>90</v>
      </c>
      <c r="H3" s="51">
        <v>106890</v>
      </c>
      <c r="I3" s="51">
        <f>I2+F3-H3</f>
        <v>110</v>
      </c>
      <c r="J3" s="51" t="s">
        <v>89</v>
      </c>
      <c r="K3" s="53" t="s">
        <v>89</v>
      </c>
    </row>
    <row r="4" spans="1:11">
      <c r="A4" s="48">
        <v>44671</v>
      </c>
      <c r="B4" s="49"/>
      <c r="C4" s="50"/>
      <c r="D4" s="50"/>
      <c r="E4" s="51"/>
      <c r="F4" s="51">
        <f t="shared" si="0"/>
        <v>0</v>
      </c>
      <c r="G4" s="52" t="s">
        <v>91</v>
      </c>
      <c r="H4" s="51">
        <v>110</v>
      </c>
      <c r="I4" s="51">
        <f t="shared" ref="I4:I47" si="1">I3+F4-H4</f>
        <v>0</v>
      </c>
      <c r="J4" s="51" t="s">
        <v>89</v>
      </c>
      <c r="K4" s="53" t="s">
        <v>89</v>
      </c>
    </row>
    <row r="5" spans="1:11">
      <c r="A5" s="4">
        <v>44671</v>
      </c>
      <c r="B5" s="2" t="s">
        <v>101</v>
      </c>
      <c r="C5" s="1"/>
      <c r="D5" s="1">
        <v>1</v>
      </c>
      <c r="E5" s="32">
        <v>110000</v>
      </c>
      <c r="F5" s="32">
        <f t="shared" si="0"/>
        <v>110000</v>
      </c>
      <c r="G5" s="30"/>
      <c r="H5" s="32"/>
      <c r="I5" s="32">
        <f t="shared" si="1"/>
        <v>110000</v>
      </c>
      <c r="J5" s="32" t="s">
        <v>89</v>
      </c>
      <c r="K5" s="31" t="s">
        <v>89</v>
      </c>
    </row>
    <row r="6" spans="1:11">
      <c r="A6" s="4">
        <v>44671</v>
      </c>
      <c r="B6" s="2" t="s">
        <v>101</v>
      </c>
      <c r="C6" s="1" t="s">
        <v>128</v>
      </c>
      <c r="D6" s="1">
        <v>1</v>
      </c>
      <c r="E6" s="32">
        <v>25000</v>
      </c>
      <c r="F6" s="32">
        <f t="shared" si="0"/>
        <v>25000</v>
      </c>
      <c r="G6" s="30"/>
      <c r="H6" s="32"/>
      <c r="I6" s="32">
        <f t="shared" si="1"/>
        <v>135000</v>
      </c>
      <c r="J6" s="32" t="s">
        <v>89</v>
      </c>
      <c r="K6" s="31" t="s">
        <v>89</v>
      </c>
    </row>
    <row r="7" spans="1:11">
      <c r="A7" s="48">
        <v>44701</v>
      </c>
      <c r="B7" s="49"/>
      <c r="C7" s="50"/>
      <c r="D7" s="50"/>
      <c r="E7" s="51"/>
      <c r="F7" s="51">
        <f t="shared" si="0"/>
        <v>0</v>
      </c>
      <c r="G7" s="52" t="s">
        <v>90</v>
      </c>
      <c r="H7" s="51">
        <v>134890</v>
      </c>
      <c r="I7" s="51">
        <f t="shared" si="1"/>
        <v>110</v>
      </c>
      <c r="J7" s="51" t="s">
        <v>89</v>
      </c>
      <c r="K7" s="53" t="s">
        <v>89</v>
      </c>
    </row>
    <row r="8" spans="1:11">
      <c r="A8" s="48">
        <v>44701</v>
      </c>
      <c r="B8" s="49"/>
      <c r="C8" s="50"/>
      <c r="D8" s="50"/>
      <c r="E8" s="51"/>
      <c r="F8" s="51">
        <f t="shared" si="0"/>
        <v>0</v>
      </c>
      <c r="G8" s="52" t="s">
        <v>91</v>
      </c>
      <c r="H8" s="51">
        <v>110</v>
      </c>
      <c r="I8" s="51">
        <f t="shared" si="1"/>
        <v>0</v>
      </c>
      <c r="J8" s="51" t="s">
        <v>89</v>
      </c>
      <c r="K8" s="53" t="s">
        <v>89</v>
      </c>
    </row>
    <row r="9" spans="1:11">
      <c r="A9" s="4">
        <v>44762</v>
      </c>
      <c r="B9" s="2" t="s">
        <v>92</v>
      </c>
      <c r="C9" s="1"/>
      <c r="D9" s="1">
        <v>1</v>
      </c>
      <c r="E9" s="32">
        <v>88000</v>
      </c>
      <c r="F9" s="32">
        <f t="shared" si="0"/>
        <v>88000</v>
      </c>
      <c r="G9" s="30"/>
      <c r="H9" s="32"/>
      <c r="I9" s="32">
        <f t="shared" si="1"/>
        <v>88000</v>
      </c>
      <c r="J9" s="32" t="s">
        <v>89</v>
      </c>
      <c r="K9" s="32" t="s">
        <v>89</v>
      </c>
    </row>
    <row r="10" spans="1:11">
      <c r="A10" s="4">
        <v>44762</v>
      </c>
      <c r="B10" s="2" t="s">
        <v>92</v>
      </c>
      <c r="C10" s="1" t="s">
        <v>128</v>
      </c>
      <c r="D10" s="1">
        <v>1</v>
      </c>
      <c r="E10" s="32">
        <v>19000</v>
      </c>
      <c r="F10" s="32">
        <f t="shared" si="0"/>
        <v>19000</v>
      </c>
      <c r="G10" s="30"/>
      <c r="H10" s="32"/>
      <c r="I10" s="32">
        <f t="shared" si="1"/>
        <v>107000</v>
      </c>
      <c r="J10" s="32" t="s">
        <v>89</v>
      </c>
      <c r="K10" s="32" t="s">
        <v>89</v>
      </c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107000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107000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107000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107000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107000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107000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107000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107000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107000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107000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107000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107000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107000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107000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107000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107000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107000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107000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107000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107000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107000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107000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107000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107000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107000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107000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107000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107000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107000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107000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107000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107000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107000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107000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107000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107000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107000</v>
      </c>
      <c r="J47" s="37"/>
      <c r="K47" s="38"/>
    </row>
    <row r="48" spans="1:11">
      <c r="A48" s="16" t="s">
        <v>86</v>
      </c>
      <c r="B48" s="9"/>
      <c r="C48" s="9"/>
      <c r="D48" s="9"/>
      <c r="E48" s="40"/>
      <c r="F48" s="40">
        <f>SUBTOTAL(109,テーブル131213141516171819202122232427282930313233343536373839[仕入金額])</f>
        <v>349000</v>
      </c>
      <c r="G48" s="40"/>
      <c r="H48" s="40">
        <f>SUBTOTAL(109,テーブル131213141516171819202122232427282930313233343536373839[支払金額])</f>
        <v>242000</v>
      </c>
      <c r="I48" s="40">
        <f>テーブル131213141516171819202122232427282930313233343536373839[[#Totals],[仕入金額]]-テーブル131213141516171819202122232427282930313233343536373839[[#Totals],[支払金額]]</f>
        <v>107000</v>
      </c>
      <c r="J48" s="40"/>
      <c r="K48" s="41">
        <f>SUBTOTAL(103,テーブル131213141516171819202122232427282930313233343536373839[裕子])</f>
        <v>9</v>
      </c>
    </row>
  </sheetData>
  <phoneticPr fontId="1"/>
  <dataValidations count="4">
    <dataValidation type="list" allowBlank="1" showInputMessage="1" showErrorMessage="1" sqref="G2:G47" xr:uid="{5A6F6211-ABFD-493D-9AD9-D07C9DEAC278}">
      <formula1>",合銀1,合銀,島銀,現金,振込手数,値引"</formula1>
    </dataValidation>
    <dataValidation type="list" allowBlank="1" showInputMessage="1" showErrorMessage="1" sqref="B2:B47" xr:uid="{25B6EA7B-07D3-48C4-9BCE-62A8E8320558}">
      <formula1>"田原,田中,高木,勝田,森山,市村,金築,その他"</formula1>
    </dataValidation>
    <dataValidation type="list" allowBlank="1" showInputMessage="1" showErrorMessage="1" sqref="J2:K47" xr:uid="{90B93DAB-1B29-4356-BC8F-64CA74A238F4}">
      <formula1>"  ,済"</formula1>
    </dataValidation>
    <dataValidation type="list" allowBlank="1" showInputMessage="1" showErrorMessage="1" sqref="G49:G61" xr:uid="{AF4A6AC6-2291-465C-B0EB-5265BA81F90D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&amp;Cゆみ設計室</oddHeader>
  </headerFooter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9DFC1-0EFD-43CB-BA6C-4A1CD9A5D4FA}">
  <sheetPr codeName="Sheet39">
    <tabColor theme="7" tint="0.39997558519241921"/>
  </sheetPr>
  <dimension ref="A1:L49"/>
  <sheetViews>
    <sheetView workbookViewId="0">
      <pane ySplit="1" topLeftCell="A2" activePane="bottomLeft" state="frozen"/>
      <selection pane="bottomLeft" activeCell="O13" sqref="O13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  <c r="L1" s="46" t="s">
        <v>135</v>
      </c>
    </row>
    <row r="2" spans="1:12">
      <c r="A2" s="3">
        <v>44762</v>
      </c>
      <c r="B2" s="2" t="s">
        <v>104</v>
      </c>
      <c r="C2" s="21" t="s">
        <v>136</v>
      </c>
      <c r="D2" s="2">
        <v>1</v>
      </c>
      <c r="E2" s="30">
        <v>123200</v>
      </c>
      <c r="F2" s="45">
        <f t="shared" ref="F2:F48" si="0">D2*E2</f>
        <v>123200</v>
      </c>
      <c r="G2" s="2"/>
      <c r="H2" s="30"/>
      <c r="I2" s="30">
        <f>F2-H2</f>
        <v>123200</v>
      </c>
      <c r="J2" s="2" t="s">
        <v>89</v>
      </c>
      <c r="K2" s="2" t="s">
        <v>89</v>
      </c>
      <c r="L2" t="s">
        <v>137</v>
      </c>
    </row>
    <row r="3" spans="1:12">
      <c r="A3" s="4"/>
      <c r="B3" s="2"/>
      <c r="C3" s="1"/>
      <c r="D3" s="1"/>
      <c r="E3" s="32"/>
      <c r="F3" s="32">
        <f t="shared" si="0"/>
        <v>0</v>
      </c>
      <c r="G3" s="2"/>
      <c r="H3" s="32"/>
      <c r="I3" s="32">
        <f>I2+F3-H3</f>
        <v>123200</v>
      </c>
      <c r="J3" s="1"/>
      <c r="K3" s="1"/>
    </row>
    <row r="4" spans="1:12">
      <c r="A4" s="4">
        <v>44762</v>
      </c>
      <c r="B4" s="2" t="s">
        <v>101</v>
      </c>
      <c r="C4" s="44" t="s">
        <v>138</v>
      </c>
      <c r="D4" s="1">
        <v>1</v>
      </c>
      <c r="E4" s="32">
        <v>13200</v>
      </c>
      <c r="F4" s="45">
        <f t="shared" si="0"/>
        <v>13200</v>
      </c>
      <c r="G4" s="2"/>
      <c r="H4" s="32"/>
      <c r="I4" s="32">
        <f t="shared" ref="I4:I47" si="1">I3+F4-H4</f>
        <v>136400</v>
      </c>
      <c r="J4" s="1" t="s">
        <v>89</v>
      </c>
      <c r="K4" s="1" t="s">
        <v>89</v>
      </c>
      <c r="L4" t="s">
        <v>139</v>
      </c>
    </row>
    <row r="5" spans="1:12">
      <c r="A5" s="4"/>
      <c r="B5" s="2"/>
      <c r="C5" s="1"/>
      <c r="D5" s="1"/>
      <c r="E5" s="32"/>
      <c r="F5" s="32">
        <f t="shared" si="0"/>
        <v>0</v>
      </c>
      <c r="G5" s="2"/>
      <c r="H5" s="32"/>
      <c r="I5" s="32">
        <f t="shared" si="1"/>
        <v>136400</v>
      </c>
      <c r="J5" s="1"/>
      <c r="K5" s="1"/>
    </row>
    <row r="6" spans="1:12">
      <c r="A6" s="4">
        <v>44762</v>
      </c>
      <c r="B6" s="2" t="s">
        <v>95</v>
      </c>
      <c r="C6" s="44" t="s">
        <v>140</v>
      </c>
      <c r="D6" s="1">
        <v>1</v>
      </c>
      <c r="E6" s="32">
        <v>504900</v>
      </c>
      <c r="F6" s="45">
        <f t="shared" si="0"/>
        <v>504900</v>
      </c>
      <c r="G6" s="2"/>
      <c r="H6" s="32"/>
      <c r="I6" s="32">
        <f t="shared" si="1"/>
        <v>641300</v>
      </c>
      <c r="J6" s="1" t="s">
        <v>89</v>
      </c>
      <c r="K6" s="1" t="s">
        <v>89</v>
      </c>
      <c r="L6" t="s">
        <v>141</v>
      </c>
    </row>
    <row r="7" spans="1:12">
      <c r="A7" s="4"/>
      <c r="B7" s="2"/>
      <c r="C7" s="1"/>
      <c r="D7" s="1"/>
      <c r="E7" s="32"/>
      <c r="F7" s="32">
        <f t="shared" si="0"/>
        <v>0</v>
      </c>
      <c r="G7" s="2"/>
      <c r="H7" s="32"/>
      <c r="I7" s="32">
        <f t="shared" si="1"/>
        <v>641300</v>
      </c>
      <c r="J7" s="1"/>
      <c r="K7" s="5"/>
    </row>
    <row r="8" spans="1:12">
      <c r="A8" s="4"/>
      <c r="B8" s="2"/>
      <c r="C8" s="1"/>
      <c r="D8" s="1"/>
      <c r="E8" s="32"/>
      <c r="F8" s="32">
        <f t="shared" si="0"/>
        <v>0</v>
      </c>
      <c r="G8" s="2"/>
      <c r="H8" s="32"/>
      <c r="I8" s="32">
        <f t="shared" si="1"/>
        <v>641300</v>
      </c>
      <c r="J8" s="1"/>
      <c r="K8" s="5"/>
    </row>
    <row r="9" spans="1:12">
      <c r="A9" s="4"/>
      <c r="B9" s="2"/>
      <c r="C9" s="1"/>
      <c r="D9" s="1"/>
      <c r="E9" s="32"/>
      <c r="F9" s="32">
        <f t="shared" si="0"/>
        <v>0</v>
      </c>
      <c r="G9" s="2"/>
      <c r="H9" s="32"/>
      <c r="I9" s="32">
        <f t="shared" si="1"/>
        <v>641300</v>
      </c>
      <c r="J9" s="1"/>
      <c r="K9" s="5"/>
    </row>
    <row r="10" spans="1:12">
      <c r="A10" s="4"/>
      <c r="B10" s="2"/>
      <c r="C10" s="1"/>
      <c r="D10" s="1"/>
      <c r="E10" s="32"/>
      <c r="F10" s="32">
        <f t="shared" si="0"/>
        <v>0</v>
      </c>
      <c r="G10" s="2"/>
      <c r="H10" s="32"/>
      <c r="I10" s="32">
        <f t="shared" si="1"/>
        <v>641300</v>
      </c>
      <c r="J10" s="1"/>
      <c r="K10" s="5"/>
    </row>
    <row r="11" spans="1:12">
      <c r="A11" s="4"/>
      <c r="B11" s="2"/>
      <c r="C11" s="1"/>
      <c r="D11" s="1"/>
      <c r="E11" s="32"/>
      <c r="F11" s="32">
        <f t="shared" si="0"/>
        <v>0</v>
      </c>
      <c r="G11" s="2"/>
      <c r="H11" s="32"/>
      <c r="I11" s="32">
        <f t="shared" si="1"/>
        <v>641300</v>
      </c>
      <c r="J11" s="1"/>
      <c r="K11" s="5"/>
    </row>
    <row r="12" spans="1:12">
      <c r="A12" s="4"/>
      <c r="B12" s="2"/>
      <c r="C12" s="1"/>
      <c r="D12" s="1"/>
      <c r="E12" s="32"/>
      <c r="F12" s="32">
        <f t="shared" si="0"/>
        <v>0</v>
      </c>
      <c r="G12" s="2"/>
      <c r="H12" s="32"/>
      <c r="I12" s="32">
        <f t="shared" si="1"/>
        <v>641300</v>
      </c>
      <c r="J12" s="1"/>
      <c r="K12" s="5"/>
    </row>
    <row r="13" spans="1:12">
      <c r="A13" s="4"/>
      <c r="B13" s="2"/>
      <c r="C13" s="1"/>
      <c r="D13" s="1"/>
      <c r="E13" s="32"/>
      <c r="F13" s="32">
        <f t="shared" si="0"/>
        <v>0</v>
      </c>
      <c r="G13" s="2"/>
      <c r="H13" s="32"/>
      <c r="I13" s="32">
        <f t="shared" si="1"/>
        <v>641300</v>
      </c>
      <c r="J13" s="1"/>
      <c r="K13" s="5"/>
    </row>
    <row r="14" spans="1:12">
      <c r="A14" s="4"/>
      <c r="B14" s="2"/>
      <c r="C14" s="1"/>
      <c r="D14" s="1"/>
      <c r="E14" s="32"/>
      <c r="F14" s="32">
        <f t="shared" si="0"/>
        <v>0</v>
      </c>
      <c r="G14" s="2"/>
      <c r="H14" s="32"/>
      <c r="I14" s="32">
        <f t="shared" si="1"/>
        <v>641300</v>
      </c>
      <c r="J14" s="1"/>
      <c r="K14" s="5"/>
    </row>
    <row r="15" spans="1:12">
      <c r="A15" s="4"/>
      <c r="B15" s="2"/>
      <c r="C15" s="1"/>
      <c r="D15" s="1"/>
      <c r="E15" s="32"/>
      <c r="F15" s="32">
        <f t="shared" si="0"/>
        <v>0</v>
      </c>
      <c r="G15" s="2"/>
      <c r="H15" s="32"/>
      <c r="I15" s="32">
        <f t="shared" si="1"/>
        <v>641300</v>
      </c>
      <c r="J15" s="1"/>
      <c r="K15" s="5"/>
    </row>
    <row r="16" spans="1:12">
      <c r="A16" s="4"/>
      <c r="B16" s="2"/>
      <c r="C16" s="1"/>
      <c r="D16" s="1"/>
      <c r="E16" s="32"/>
      <c r="F16" s="32">
        <f t="shared" si="0"/>
        <v>0</v>
      </c>
      <c r="G16" s="2"/>
      <c r="H16" s="32"/>
      <c r="I16" s="32">
        <f t="shared" si="1"/>
        <v>641300</v>
      </c>
      <c r="J16" s="1"/>
      <c r="K16" s="5"/>
    </row>
    <row r="17" spans="1:11">
      <c r="A17" s="4"/>
      <c r="B17" s="2"/>
      <c r="C17" s="1"/>
      <c r="D17" s="1"/>
      <c r="E17" s="32"/>
      <c r="F17" s="32">
        <f t="shared" si="0"/>
        <v>0</v>
      </c>
      <c r="G17" s="2"/>
      <c r="H17" s="32"/>
      <c r="I17" s="32">
        <f t="shared" si="1"/>
        <v>641300</v>
      </c>
      <c r="J17" s="1"/>
      <c r="K17" s="5"/>
    </row>
    <row r="18" spans="1:11">
      <c r="A18" s="4"/>
      <c r="B18" s="2"/>
      <c r="C18" s="1"/>
      <c r="D18" s="1"/>
      <c r="E18" s="32"/>
      <c r="F18" s="32">
        <f t="shared" si="0"/>
        <v>0</v>
      </c>
      <c r="G18" s="2"/>
      <c r="H18" s="32"/>
      <c r="I18" s="32">
        <f t="shared" si="1"/>
        <v>641300</v>
      </c>
      <c r="J18" s="1"/>
      <c r="K18" s="5"/>
    </row>
    <row r="19" spans="1:11">
      <c r="A19" s="4"/>
      <c r="B19" s="2"/>
      <c r="C19" s="1"/>
      <c r="D19" s="1"/>
      <c r="E19" s="32"/>
      <c r="F19" s="32">
        <f t="shared" si="0"/>
        <v>0</v>
      </c>
      <c r="G19" s="2"/>
      <c r="H19" s="32"/>
      <c r="I19" s="32">
        <f t="shared" si="1"/>
        <v>641300</v>
      </c>
      <c r="J19" s="1"/>
      <c r="K19" s="5"/>
    </row>
    <row r="20" spans="1:11">
      <c r="A20" s="4"/>
      <c r="B20" s="2"/>
      <c r="C20" s="1"/>
      <c r="D20" s="1"/>
      <c r="E20" s="32"/>
      <c r="F20" s="32">
        <f t="shared" si="0"/>
        <v>0</v>
      </c>
      <c r="G20" s="2"/>
      <c r="H20" s="32"/>
      <c r="I20" s="32">
        <f t="shared" si="1"/>
        <v>641300</v>
      </c>
      <c r="J20" s="1"/>
      <c r="K20" s="5"/>
    </row>
    <row r="21" spans="1:11">
      <c r="A21" s="4"/>
      <c r="B21" s="2"/>
      <c r="C21" s="1"/>
      <c r="D21" s="1"/>
      <c r="E21" s="32"/>
      <c r="F21" s="32">
        <f t="shared" si="0"/>
        <v>0</v>
      </c>
      <c r="G21" s="2"/>
      <c r="H21" s="32"/>
      <c r="I21" s="32">
        <f t="shared" si="1"/>
        <v>641300</v>
      </c>
      <c r="J21" s="1"/>
      <c r="K21" s="5"/>
    </row>
    <row r="22" spans="1:11">
      <c r="A22" s="4"/>
      <c r="B22" s="2"/>
      <c r="C22" s="1"/>
      <c r="D22" s="1"/>
      <c r="E22" s="32"/>
      <c r="F22" s="32">
        <f t="shared" si="0"/>
        <v>0</v>
      </c>
      <c r="G22" s="2"/>
      <c r="H22" s="32"/>
      <c r="I22" s="32">
        <f t="shared" si="1"/>
        <v>641300</v>
      </c>
      <c r="J22" s="1"/>
      <c r="K22" s="5"/>
    </row>
    <row r="23" spans="1:11">
      <c r="A23" s="4"/>
      <c r="B23" s="2"/>
      <c r="C23" s="1"/>
      <c r="D23" s="1"/>
      <c r="E23" s="32"/>
      <c r="F23" s="32">
        <f t="shared" si="0"/>
        <v>0</v>
      </c>
      <c r="G23" s="2"/>
      <c r="H23" s="32"/>
      <c r="I23" s="32">
        <f t="shared" si="1"/>
        <v>641300</v>
      </c>
      <c r="J23" s="1"/>
      <c r="K23" s="5"/>
    </row>
    <row r="24" spans="1:11">
      <c r="A24" s="4"/>
      <c r="B24" s="2"/>
      <c r="C24" s="1"/>
      <c r="D24" s="1"/>
      <c r="E24" s="32"/>
      <c r="F24" s="32">
        <f t="shared" si="0"/>
        <v>0</v>
      </c>
      <c r="G24" s="2"/>
      <c r="H24" s="32"/>
      <c r="I24" s="32">
        <f t="shared" si="1"/>
        <v>641300</v>
      </c>
      <c r="J24" s="1"/>
      <c r="K24" s="5"/>
    </row>
    <row r="25" spans="1:11">
      <c r="A25" s="4"/>
      <c r="B25" s="2"/>
      <c r="C25" s="1"/>
      <c r="D25" s="1"/>
      <c r="E25" s="32"/>
      <c r="F25" s="32">
        <f t="shared" si="0"/>
        <v>0</v>
      </c>
      <c r="G25" s="2"/>
      <c r="H25" s="32"/>
      <c r="I25" s="32">
        <f t="shared" si="1"/>
        <v>641300</v>
      </c>
      <c r="J25" s="1"/>
      <c r="K25" s="5"/>
    </row>
    <row r="26" spans="1:11">
      <c r="A26" s="4"/>
      <c r="B26" s="2"/>
      <c r="C26" s="1"/>
      <c r="D26" s="1"/>
      <c r="E26" s="32"/>
      <c r="F26" s="32">
        <f t="shared" si="0"/>
        <v>0</v>
      </c>
      <c r="G26" s="2"/>
      <c r="H26" s="32"/>
      <c r="I26" s="32">
        <f t="shared" si="1"/>
        <v>641300</v>
      </c>
      <c r="J26" s="1"/>
      <c r="K26" s="5"/>
    </row>
    <row r="27" spans="1:11">
      <c r="A27" s="4"/>
      <c r="B27" s="2"/>
      <c r="C27" s="1"/>
      <c r="D27" s="1"/>
      <c r="E27" s="32"/>
      <c r="F27" s="32">
        <f t="shared" si="0"/>
        <v>0</v>
      </c>
      <c r="G27" s="2"/>
      <c r="H27" s="32"/>
      <c r="I27" s="32">
        <f t="shared" si="1"/>
        <v>641300</v>
      </c>
      <c r="J27" s="1"/>
      <c r="K27" s="5"/>
    </row>
    <row r="28" spans="1:11">
      <c r="A28" s="4"/>
      <c r="B28" s="2"/>
      <c r="C28" s="1"/>
      <c r="D28" s="1"/>
      <c r="E28" s="32"/>
      <c r="F28" s="32">
        <f t="shared" si="0"/>
        <v>0</v>
      </c>
      <c r="G28" s="2"/>
      <c r="H28" s="32"/>
      <c r="I28" s="32">
        <f t="shared" si="1"/>
        <v>641300</v>
      </c>
      <c r="J28" s="1"/>
      <c r="K28" s="5"/>
    </row>
    <row r="29" spans="1:11">
      <c r="A29" s="4"/>
      <c r="B29" s="2"/>
      <c r="C29" s="1"/>
      <c r="D29" s="1"/>
      <c r="E29" s="32"/>
      <c r="F29" s="32">
        <f t="shared" si="0"/>
        <v>0</v>
      </c>
      <c r="G29" s="2"/>
      <c r="H29" s="32"/>
      <c r="I29" s="32">
        <f t="shared" si="1"/>
        <v>641300</v>
      </c>
      <c r="J29" s="1"/>
      <c r="K29" s="5"/>
    </row>
    <row r="30" spans="1:11">
      <c r="A30" s="4"/>
      <c r="B30" s="2"/>
      <c r="C30" s="1"/>
      <c r="D30" s="1"/>
      <c r="E30" s="32"/>
      <c r="F30" s="32">
        <f t="shared" si="0"/>
        <v>0</v>
      </c>
      <c r="G30" s="2"/>
      <c r="H30" s="32"/>
      <c r="I30" s="32">
        <f t="shared" si="1"/>
        <v>641300</v>
      </c>
      <c r="J30" s="1"/>
      <c r="K30" s="5"/>
    </row>
    <row r="31" spans="1:11">
      <c r="A31" s="4"/>
      <c r="B31" s="2"/>
      <c r="C31" s="1"/>
      <c r="D31" s="1"/>
      <c r="E31" s="32"/>
      <c r="F31" s="32">
        <f t="shared" si="0"/>
        <v>0</v>
      </c>
      <c r="G31" s="2"/>
      <c r="H31" s="32"/>
      <c r="I31" s="32">
        <f t="shared" si="1"/>
        <v>641300</v>
      </c>
      <c r="J31" s="1"/>
      <c r="K31" s="5"/>
    </row>
    <row r="32" spans="1:11">
      <c r="A32" s="4"/>
      <c r="B32" s="2"/>
      <c r="C32" s="1"/>
      <c r="D32" s="1"/>
      <c r="E32" s="32"/>
      <c r="F32" s="32">
        <f t="shared" si="0"/>
        <v>0</v>
      </c>
      <c r="G32" s="2"/>
      <c r="H32" s="32"/>
      <c r="I32" s="32">
        <f t="shared" si="1"/>
        <v>641300</v>
      </c>
      <c r="J32" s="1"/>
      <c r="K32" s="5"/>
    </row>
    <row r="33" spans="1:11">
      <c r="A33" s="4"/>
      <c r="B33" s="2"/>
      <c r="C33" s="1"/>
      <c r="D33" s="1"/>
      <c r="E33" s="32"/>
      <c r="F33" s="32">
        <f t="shared" si="0"/>
        <v>0</v>
      </c>
      <c r="G33" s="2"/>
      <c r="H33" s="32"/>
      <c r="I33" s="32">
        <f t="shared" si="1"/>
        <v>641300</v>
      </c>
      <c r="J33" s="1"/>
      <c r="K33" s="5"/>
    </row>
    <row r="34" spans="1:11">
      <c r="A34" s="4"/>
      <c r="B34" s="2"/>
      <c r="C34" s="1"/>
      <c r="D34" s="1"/>
      <c r="E34" s="32"/>
      <c r="F34" s="32">
        <f t="shared" si="0"/>
        <v>0</v>
      </c>
      <c r="G34" s="2"/>
      <c r="H34" s="32"/>
      <c r="I34" s="32">
        <f t="shared" si="1"/>
        <v>641300</v>
      </c>
      <c r="J34" s="1"/>
      <c r="K34" s="5"/>
    </row>
    <row r="35" spans="1:11">
      <c r="A35" s="4"/>
      <c r="B35" s="2"/>
      <c r="C35" s="1"/>
      <c r="D35" s="1"/>
      <c r="E35" s="32"/>
      <c r="F35" s="32">
        <f t="shared" si="0"/>
        <v>0</v>
      </c>
      <c r="G35" s="2"/>
      <c r="H35" s="32"/>
      <c r="I35" s="32">
        <f t="shared" si="1"/>
        <v>641300</v>
      </c>
      <c r="J35" s="1"/>
      <c r="K35" s="5"/>
    </row>
    <row r="36" spans="1:11">
      <c r="A36" s="4"/>
      <c r="B36" s="2"/>
      <c r="C36" s="1"/>
      <c r="D36" s="1"/>
      <c r="E36" s="32"/>
      <c r="F36" s="32">
        <f t="shared" si="0"/>
        <v>0</v>
      </c>
      <c r="G36" s="2"/>
      <c r="H36" s="32"/>
      <c r="I36" s="32">
        <f t="shared" si="1"/>
        <v>641300</v>
      </c>
      <c r="J36" s="1"/>
      <c r="K36" s="5"/>
    </row>
    <row r="37" spans="1:11">
      <c r="A37" s="4"/>
      <c r="B37" s="2"/>
      <c r="C37" s="1"/>
      <c r="D37" s="1"/>
      <c r="E37" s="32"/>
      <c r="F37" s="32">
        <f t="shared" si="0"/>
        <v>0</v>
      </c>
      <c r="G37" s="2"/>
      <c r="H37" s="32"/>
      <c r="I37" s="32">
        <f t="shared" si="1"/>
        <v>641300</v>
      </c>
      <c r="J37" s="1"/>
      <c r="K37" s="5"/>
    </row>
    <row r="38" spans="1:11">
      <c r="A38" s="4"/>
      <c r="B38" s="2"/>
      <c r="C38" s="1"/>
      <c r="D38" s="1"/>
      <c r="E38" s="32"/>
      <c r="F38" s="32">
        <f t="shared" si="0"/>
        <v>0</v>
      </c>
      <c r="G38" s="2"/>
      <c r="H38" s="32"/>
      <c r="I38" s="32">
        <f t="shared" si="1"/>
        <v>641300</v>
      </c>
      <c r="J38" s="1"/>
      <c r="K38" s="5"/>
    </row>
    <row r="39" spans="1:11">
      <c r="A39" s="4"/>
      <c r="B39" s="2"/>
      <c r="C39" s="1"/>
      <c r="D39" s="1"/>
      <c r="E39" s="32"/>
      <c r="F39" s="32">
        <f t="shared" si="0"/>
        <v>0</v>
      </c>
      <c r="G39" s="2"/>
      <c r="H39" s="32"/>
      <c r="I39" s="32">
        <f t="shared" si="1"/>
        <v>641300</v>
      </c>
      <c r="J39" s="1"/>
      <c r="K39" s="5"/>
    </row>
    <row r="40" spans="1:11">
      <c r="A40" s="4"/>
      <c r="B40" s="2"/>
      <c r="C40" s="1"/>
      <c r="D40" s="1"/>
      <c r="E40" s="32"/>
      <c r="F40" s="32">
        <f t="shared" si="0"/>
        <v>0</v>
      </c>
      <c r="G40" s="2"/>
      <c r="H40" s="32"/>
      <c r="I40" s="32">
        <f t="shared" si="1"/>
        <v>641300</v>
      </c>
      <c r="J40" s="1"/>
      <c r="K40" s="5"/>
    </row>
    <row r="41" spans="1:11">
      <c r="A41" s="4"/>
      <c r="B41" s="2"/>
      <c r="C41" s="1"/>
      <c r="D41" s="1"/>
      <c r="E41" s="32"/>
      <c r="F41" s="32">
        <f t="shared" si="0"/>
        <v>0</v>
      </c>
      <c r="G41" s="2"/>
      <c r="H41" s="32"/>
      <c r="I41" s="32">
        <f t="shared" si="1"/>
        <v>641300</v>
      </c>
      <c r="J41" s="1"/>
      <c r="K41" s="5"/>
    </row>
    <row r="42" spans="1:11">
      <c r="A42" s="4"/>
      <c r="B42" s="2"/>
      <c r="C42" s="1"/>
      <c r="D42" s="1"/>
      <c r="E42" s="32"/>
      <c r="F42" s="32">
        <f t="shared" si="0"/>
        <v>0</v>
      </c>
      <c r="G42" s="2"/>
      <c r="H42" s="32"/>
      <c r="I42" s="32">
        <f t="shared" si="1"/>
        <v>641300</v>
      </c>
      <c r="J42" s="1"/>
      <c r="K42" s="5"/>
    </row>
    <row r="43" spans="1:11">
      <c r="A43" s="4"/>
      <c r="B43" s="2"/>
      <c r="C43" s="1"/>
      <c r="D43" s="1"/>
      <c r="E43" s="32"/>
      <c r="F43" s="32">
        <f t="shared" si="0"/>
        <v>0</v>
      </c>
      <c r="G43" s="2"/>
      <c r="H43" s="32"/>
      <c r="I43" s="32">
        <f>I42+F43-H43</f>
        <v>641300</v>
      </c>
      <c r="J43" s="1"/>
      <c r="K43" s="5"/>
    </row>
    <row r="44" spans="1:11">
      <c r="A44" s="4"/>
      <c r="B44" s="2"/>
      <c r="C44" s="1"/>
      <c r="D44" s="1"/>
      <c r="E44" s="32"/>
      <c r="F44" s="32">
        <f t="shared" si="0"/>
        <v>0</v>
      </c>
      <c r="G44" s="2"/>
      <c r="H44" s="32"/>
      <c r="I44" s="32">
        <f>I43+F44-H44</f>
        <v>641300</v>
      </c>
      <c r="J44" s="1"/>
      <c r="K44" s="5"/>
    </row>
    <row r="45" spans="1:11">
      <c r="A45" s="4"/>
      <c r="B45" s="2"/>
      <c r="C45" s="1"/>
      <c r="D45" s="1"/>
      <c r="E45" s="32"/>
      <c r="F45" s="32">
        <f t="shared" si="0"/>
        <v>0</v>
      </c>
      <c r="G45" s="2"/>
      <c r="H45" s="32"/>
      <c r="I45" s="32">
        <f>I44+F45-H45</f>
        <v>641300</v>
      </c>
      <c r="J45" s="1"/>
      <c r="K45" s="5"/>
    </row>
    <row r="46" spans="1:11">
      <c r="A46" s="4"/>
      <c r="B46" s="2"/>
      <c r="C46" s="1"/>
      <c r="D46" s="1"/>
      <c r="E46" s="32"/>
      <c r="F46" s="32">
        <f t="shared" si="0"/>
        <v>0</v>
      </c>
      <c r="G46" s="2"/>
      <c r="H46" s="32"/>
      <c r="I46" s="32">
        <f>I45+F46-H46</f>
        <v>641300</v>
      </c>
      <c r="J46" s="1"/>
      <c r="K46" s="5"/>
    </row>
    <row r="47" spans="1:11">
      <c r="A47" s="8"/>
      <c r="B47" s="1"/>
      <c r="C47" s="10"/>
      <c r="D47" s="10"/>
      <c r="E47" s="37"/>
      <c r="F47" s="32">
        <f t="shared" si="0"/>
        <v>0</v>
      </c>
      <c r="G47" s="2"/>
      <c r="H47" s="37"/>
      <c r="I47" s="37">
        <f t="shared" si="1"/>
        <v>641300</v>
      </c>
      <c r="J47" s="10"/>
      <c r="K47" s="11"/>
    </row>
    <row r="48" spans="1:11">
      <c r="A48" s="4"/>
      <c r="B48" s="2"/>
      <c r="C48" s="1"/>
      <c r="D48" s="1"/>
      <c r="E48" s="32"/>
      <c r="F48" s="32">
        <f t="shared" si="0"/>
        <v>0</v>
      </c>
      <c r="G48" s="2"/>
      <c r="H48" s="32"/>
      <c r="I48" s="32">
        <f>I47+F48-H48</f>
        <v>641300</v>
      </c>
      <c r="J48" s="1"/>
      <c r="K48" s="5"/>
    </row>
    <row r="49" spans="1:11">
      <c r="A49" s="16" t="s">
        <v>86</v>
      </c>
      <c r="B49" s="9"/>
      <c r="C49" s="9"/>
      <c r="D49" s="9"/>
      <c r="E49" s="42"/>
      <c r="F49" s="9">
        <f>SUBTOTAL(109,テーブル13121314151617181920212223242728293031323334353637383940414243444546474849507[仕入金額])</f>
        <v>641300</v>
      </c>
      <c r="G49" s="9"/>
      <c r="H49" s="40">
        <f>SUBTOTAL(109,テーブル13121314151617181920212223242728293031323334353637383940414243444546474849507[支払金額])</f>
        <v>0</v>
      </c>
      <c r="I49" s="40">
        <f>テーブル13121314151617181920212223242728293031323334353637383940414243444546474849507[[#Totals],[仕入金額]]-テーブル13121314151617181920212223242728293031323334353637383940414243444546474849507[[#Totals],[支払金額]]</f>
        <v>641300</v>
      </c>
      <c r="J49" s="9"/>
      <c r="K49" s="17"/>
    </row>
  </sheetData>
  <phoneticPr fontId="1"/>
  <dataValidations count="4">
    <dataValidation type="list" allowBlank="1" showInputMessage="1" showErrorMessage="1" sqref="G2:G48" xr:uid="{C729AADF-2A54-4B8E-9C35-8E800BAA129D}">
      <formula1>",合銀1,合銀,島銀,現金,振込手数,値引"</formula1>
    </dataValidation>
    <dataValidation type="list" allowBlank="1" showInputMessage="1" showErrorMessage="1" sqref="B2:B48" xr:uid="{7005C7F3-D9A8-447A-B82B-FE1D0EA14A7B}">
      <formula1>"田原,田中,高木,勝田,森山,市村,金築,その他"</formula1>
    </dataValidation>
    <dataValidation type="list" allowBlank="1" showInputMessage="1" showErrorMessage="1" sqref="J2:K48" xr:uid="{D9D1BBFC-31C4-4BCF-B87C-2E6BB27BAB0C}">
      <formula1>"  ,済"</formula1>
    </dataValidation>
    <dataValidation type="list" allowBlank="1" showInputMessage="1" showErrorMessage="1" sqref="G50:G62" xr:uid="{9B3E3233-54A1-4FD0-8329-EFB62C0C5713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8E808-D48C-485E-BF29-6B0039A983B0}">
  <sheetPr codeName="Sheet40">
    <tabColor rgb="FF00B0F0"/>
  </sheetPr>
  <dimension ref="A1:L52"/>
  <sheetViews>
    <sheetView workbookViewId="0">
      <pane ySplit="1" topLeftCell="A2" activePane="bottomLeft" state="frozen"/>
      <selection pane="bottomLeft" activeCell="H17" sqref="H17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2">
      <c r="A2" s="3"/>
      <c r="B2" s="2"/>
      <c r="C2" s="22"/>
      <c r="D2" s="2"/>
      <c r="E2" s="30"/>
      <c r="F2" s="30">
        <f>D2*E2</f>
        <v>0</v>
      </c>
      <c r="G2" s="30"/>
      <c r="H2" s="30"/>
      <c r="I2" s="30">
        <f>F2-H2</f>
        <v>0</v>
      </c>
      <c r="J2" s="30"/>
      <c r="K2" s="31"/>
      <c r="L2" s="39"/>
    </row>
    <row r="3" spans="1:12">
      <c r="A3" s="3"/>
      <c r="B3" s="2"/>
      <c r="C3" s="23"/>
      <c r="D3" s="1"/>
      <c r="E3" s="32"/>
      <c r="F3" s="32">
        <f t="shared" ref="F3:F51" si="0">D3*E3</f>
        <v>0</v>
      </c>
      <c r="G3" s="30"/>
      <c r="H3" s="32"/>
      <c r="I3" s="32">
        <f>I2+F3-H3</f>
        <v>0</v>
      </c>
      <c r="J3" s="32"/>
      <c r="K3" s="31"/>
      <c r="L3" s="39"/>
    </row>
    <row r="4" spans="1:12">
      <c r="A4" s="3"/>
      <c r="B4" s="2"/>
      <c r="C4" s="23"/>
      <c r="D4" s="1"/>
      <c r="E4" s="32"/>
      <c r="F4" s="32">
        <f t="shared" si="0"/>
        <v>0</v>
      </c>
      <c r="G4" s="30"/>
      <c r="H4" s="32"/>
      <c r="I4" s="32">
        <f t="shared" ref="I4:I51" si="1">I3+F4-H4</f>
        <v>0</v>
      </c>
      <c r="J4" s="32"/>
      <c r="K4" s="31"/>
      <c r="L4" s="39"/>
    </row>
    <row r="5" spans="1:12">
      <c r="A5" s="3"/>
      <c r="B5" s="2"/>
      <c r="C5" s="23"/>
      <c r="D5" s="1"/>
      <c r="E5" s="32"/>
      <c r="F5" s="32">
        <f t="shared" si="0"/>
        <v>0</v>
      </c>
      <c r="G5" s="30"/>
      <c r="H5" s="32"/>
      <c r="I5" s="32">
        <f t="shared" si="1"/>
        <v>0</v>
      </c>
      <c r="J5" s="32"/>
      <c r="K5" s="31"/>
      <c r="L5" s="39"/>
    </row>
    <row r="6" spans="1:12">
      <c r="A6" s="3"/>
      <c r="B6" s="2"/>
      <c r="C6" s="23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  <c r="L6" s="39"/>
    </row>
    <row r="7" spans="1:12">
      <c r="A7" s="4"/>
      <c r="B7" s="2"/>
      <c r="C7" s="23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  <c r="L7" s="39"/>
    </row>
    <row r="8" spans="1:12">
      <c r="A8" s="4"/>
      <c r="B8" s="2"/>
      <c r="C8" s="24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  <c r="L8" s="39"/>
    </row>
    <row r="9" spans="1:12">
      <c r="A9" s="4"/>
      <c r="B9" s="2"/>
      <c r="C9" s="23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  <c r="L9" s="39"/>
    </row>
    <row r="10" spans="1:12">
      <c r="A10" s="4"/>
      <c r="B10" s="2"/>
      <c r="C10" s="23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  <c r="L10" s="39"/>
    </row>
    <row r="11" spans="1:12">
      <c r="A11" s="4"/>
      <c r="B11" s="2"/>
      <c r="C11" s="23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  <c r="L11" s="39"/>
    </row>
    <row r="12" spans="1:12">
      <c r="A12" s="4"/>
      <c r="B12" s="2"/>
      <c r="C12" s="23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  <c r="L12" s="39"/>
    </row>
    <row r="13" spans="1:12">
      <c r="A13" s="4"/>
      <c r="B13" s="2"/>
      <c r="C13" s="23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  <c r="L13" s="39"/>
    </row>
    <row r="14" spans="1:12">
      <c r="A14" s="4"/>
      <c r="B14" s="2"/>
      <c r="C14" s="22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  <c r="L14" s="39"/>
    </row>
    <row r="15" spans="1:12">
      <c r="A15" s="4"/>
      <c r="B15" s="2"/>
      <c r="C15" s="23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  <c r="L15" s="39"/>
    </row>
    <row r="16" spans="1:12">
      <c r="A16" s="4"/>
      <c r="B16" s="2"/>
      <c r="C16" s="23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  <c r="L16" s="39"/>
    </row>
    <row r="17" spans="1:12">
      <c r="A17" s="4"/>
      <c r="B17" s="2"/>
      <c r="C17" s="23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  <c r="L17" s="39"/>
    </row>
    <row r="18" spans="1:12">
      <c r="A18" s="4"/>
      <c r="B18" s="2"/>
      <c r="C18" s="23"/>
      <c r="D18" s="1"/>
      <c r="E18" s="32"/>
      <c r="F18" s="32">
        <f>D18*E18</f>
        <v>0</v>
      </c>
      <c r="G18" s="30"/>
      <c r="H18" s="32"/>
      <c r="I18" s="32">
        <f>I17+F18-H18</f>
        <v>0</v>
      </c>
      <c r="J18" s="32"/>
      <c r="K18" s="31"/>
      <c r="L18" s="39"/>
    </row>
    <row r="19" spans="1:12">
      <c r="A19" s="4"/>
      <c r="B19" s="2"/>
      <c r="C19" s="23"/>
      <c r="D19" s="1"/>
      <c r="E19" s="32"/>
      <c r="F19" s="32">
        <f>D19*E19</f>
        <v>0</v>
      </c>
      <c r="G19" s="30"/>
      <c r="H19" s="32"/>
      <c r="I19" s="32">
        <f>I18+F19-H19</f>
        <v>0</v>
      </c>
      <c r="J19" s="32"/>
      <c r="K19" s="31"/>
      <c r="L19" s="39"/>
    </row>
    <row r="20" spans="1:12">
      <c r="A20" s="4"/>
      <c r="B20" s="2"/>
      <c r="C20" s="23"/>
      <c r="D20" s="1"/>
      <c r="E20" s="32"/>
      <c r="F20" s="32">
        <f>D20*E20</f>
        <v>0</v>
      </c>
      <c r="G20" s="30"/>
      <c r="H20" s="32"/>
      <c r="I20" s="32">
        <f>I19+F20-H20</f>
        <v>0</v>
      </c>
      <c r="J20" s="32"/>
      <c r="K20" s="31"/>
      <c r="L20" s="39"/>
    </row>
    <row r="21" spans="1:12">
      <c r="A21" s="4"/>
      <c r="B21" s="2"/>
      <c r="C21" s="23"/>
      <c r="D21" s="1"/>
      <c r="E21" s="32"/>
      <c r="F21" s="32">
        <f>D21*E21</f>
        <v>0</v>
      </c>
      <c r="G21" s="30"/>
      <c r="H21" s="32"/>
      <c r="I21" s="32">
        <f>I20+F21-H21</f>
        <v>0</v>
      </c>
      <c r="J21" s="32"/>
      <c r="K21" s="31"/>
      <c r="L21" s="39"/>
    </row>
    <row r="22" spans="1:12">
      <c r="A22" s="4"/>
      <c r="B22" s="2"/>
      <c r="C22" s="23"/>
      <c r="D22" s="1"/>
      <c r="E22" s="32"/>
      <c r="F22" s="32">
        <f t="shared" si="0"/>
        <v>0</v>
      </c>
      <c r="G22" s="30"/>
      <c r="H22" s="32"/>
      <c r="I22" s="32">
        <f>I21+F22-H22</f>
        <v>0</v>
      </c>
      <c r="J22" s="32"/>
      <c r="K22" s="31"/>
      <c r="L22" s="39"/>
    </row>
    <row r="23" spans="1:12">
      <c r="A23" s="4"/>
      <c r="B23" s="2"/>
      <c r="C23" s="23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  <c r="L23" s="39"/>
    </row>
    <row r="24" spans="1:12">
      <c r="A24" s="4"/>
      <c r="B24" s="2"/>
      <c r="C24" s="24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  <c r="L24" s="39"/>
    </row>
    <row r="25" spans="1:12">
      <c r="A25" s="4"/>
      <c r="B25" s="2"/>
      <c r="C25" s="23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  <c r="L25" s="39"/>
    </row>
    <row r="26" spans="1:12">
      <c r="A26" s="4"/>
      <c r="B26" s="2"/>
      <c r="C26" s="25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  <c r="L26" s="39"/>
    </row>
    <row r="27" spans="1:12">
      <c r="A27" s="4"/>
      <c r="B27" s="2"/>
      <c r="C27" s="25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  <c r="L27" s="39"/>
    </row>
    <row r="28" spans="1:12">
      <c r="A28" s="4"/>
      <c r="B28" s="2"/>
      <c r="C28" s="25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  <c r="L28" s="39"/>
    </row>
    <row r="29" spans="1:12">
      <c r="A29" s="4"/>
      <c r="B29" s="2"/>
      <c r="C29" s="25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  <c r="L29" s="39"/>
    </row>
    <row r="30" spans="1:12">
      <c r="A30" s="4"/>
      <c r="B30" s="2"/>
      <c r="C30" s="24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  <c r="L30" s="39"/>
    </row>
    <row r="31" spans="1:12">
      <c r="A31" s="4"/>
      <c r="B31" s="2"/>
      <c r="C31" s="25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  <c r="L31" s="39"/>
    </row>
    <row r="32" spans="1:12">
      <c r="A32" s="4"/>
      <c r="B32" s="2"/>
      <c r="C32" s="25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  <c r="L32" s="39"/>
    </row>
    <row r="33" spans="1:12">
      <c r="A33" s="4"/>
      <c r="B33" s="2"/>
      <c r="C33" s="25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  <c r="L33" s="39"/>
    </row>
    <row r="34" spans="1:12">
      <c r="A34" s="4"/>
      <c r="B34" s="2"/>
      <c r="C34" s="25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  <c r="L34" s="39"/>
    </row>
    <row r="35" spans="1:12">
      <c r="A35" s="4"/>
      <c r="B35" s="2"/>
      <c r="C35" s="25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  <c r="L35" s="39"/>
    </row>
    <row r="36" spans="1:12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  <c r="L36" s="39"/>
    </row>
    <row r="37" spans="1:12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  <c r="L37" s="39"/>
    </row>
    <row r="38" spans="1:12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  <c r="L38" s="39"/>
    </row>
    <row r="39" spans="1:12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  <c r="L39" s="39"/>
    </row>
    <row r="40" spans="1:12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  <c r="L40" s="39"/>
    </row>
    <row r="41" spans="1:12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  <c r="L41" s="39"/>
    </row>
    <row r="42" spans="1:12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  <c r="L42" s="39"/>
    </row>
    <row r="43" spans="1:12">
      <c r="A43" s="4"/>
      <c r="B43" s="2"/>
      <c r="C43" s="1"/>
      <c r="D43" s="1"/>
      <c r="E43" s="32"/>
      <c r="F43" s="32">
        <f t="shared" si="0"/>
        <v>0</v>
      </c>
      <c r="G43" s="30"/>
      <c r="H43" s="32"/>
      <c r="I43" s="32">
        <f t="shared" si="1"/>
        <v>0</v>
      </c>
      <c r="J43" s="32"/>
      <c r="K43" s="31"/>
      <c r="L43" s="39"/>
    </row>
    <row r="44" spans="1:12">
      <c r="A44" s="4"/>
      <c r="B44" s="2"/>
      <c r="C44" s="1"/>
      <c r="D44" s="1"/>
      <c r="E44" s="32"/>
      <c r="F44" s="32">
        <f t="shared" si="0"/>
        <v>0</v>
      </c>
      <c r="G44" s="30"/>
      <c r="H44" s="32"/>
      <c r="I44" s="32">
        <f t="shared" si="1"/>
        <v>0</v>
      </c>
      <c r="J44" s="32"/>
      <c r="K44" s="31"/>
      <c r="L44" s="39"/>
    </row>
    <row r="45" spans="1:12">
      <c r="A45" s="4"/>
      <c r="B45" s="2"/>
      <c r="C45" s="1"/>
      <c r="D45" s="1"/>
      <c r="E45" s="32"/>
      <c r="F45" s="32">
        <f t="shared" si="0"/>
        <v>0</v>
      </c>
      <c r="G45" s="30"/>
      <c r="H45" s="32"/>
      <c r="I45" s="32">
        <f t="shared" si="1"/>
        <v>0</v>
      </c>
      <c r="J45" s="32"/>
      <c r="K45" s="31"/>
      <c r="L45" s="39"/>
    </row>
    <row r="46" spans="1:12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 t="shared" si="1"/>
        <v>0</v>
      </c>
      <c r="J46" s="32"/>
      <c r="K46" s="31"/>
      <c r="L46" s="39"/>
    </row>
    <row r="47" spans="1:12">
      <c r="A47" s="4"/>
      <c r="B47" s="2"/>
      <c r="C47" s="1"/>
      <c r="D47" s="1"/>
      <c r="E47" s="32"/>
      <c r="F47" s="32">
        <f>D47*E47</f>
        <v>0</v>
      </c>
      <c r="G47" s="30"/>
      <c r="H47" s="32"/>
      <c r="I47" s="32">
        <f>I46+F47-H47</f>
        <v>0</v>
      </c>
      <c r="J47" s="32"/>
      <c r="K47" s="31"/>
      <c r="L47" s="39"/>
    </row>
    <row r="48" spans="1:12">
      <c r="A48" s="4"/>
      <c r="B48" s="2"/>
      <c r="C48" s="1"/>
      <c r="D48" s="1"/>
      <c r="E48" s="32"/>
      <c r="F48" s="32">
        <f>D48*E48</f>
        <v>0</v>
      </c>
      <c r="G48" s="30"/>
      <c r="H48" s="32"/>
      <c r="I48" s="32">
        <f>I47+F48-H48</f>
        <v>0</v>
      </c>
      <c r="J48" s="32"/>
      <c r="K48" s="31"/>
      <c r="L48" s="39"/>
    </row>
    <row r="49" spans="1:12">
      <c r="A49" s="4"/>
      <c r="B49" s="2"/>
      <c r="C49" s="1"/>
      <c r="D49" s="1"/>
      <c r="E49" s="32"/>
      <c r="F49" s="32">
        <f>D49*E49</f>
        <v>0</v>
      </c>
      <c r="G49" s="30"/>
      <c r="H49" s="32"/>
      <c r="I49" s="32">
        <f>I48+F49-H49</f>
        <v>0</v>
      </c>
      <c r="J49" s="32"/>
      <c r="K49" s="31"/>
      <c r="L49" s="39"/>
    </row>
    <row r="50" spans="1:12">
      <c r="A50" s="4"/>
      <c r="B50" s="2"/>
      <c r="C50" s="1"/>
      <c r="D50" s="1"/>
      <c r="E50" s="32"/>
      <c r="F50" s="32">
        <f t="shared" si="0"/>
        <v>0</v>
      </c>
      <c r="G50" s="30"/>
      <c r="H50" s="32"/>
      <c r="I50" s="32">
        <f>I49+F50-H50</f>
        <v>0</v>
      </c>
      <c r="J50" s="32"/>
      <c r="K50" s="31"/>
      <c r="L50" s="39"/>
    </row>
    <row r="51" spans="1:12">
      <c r="A51" s="8"/>
      <c r="B51" s="9"/>
      <c r="C51" s="10"/>
      <c r="D51" s="10"/>
      <c r="E51" s="37"/>
      <c r="F51" s="37">
        <f t="shared" si="0"/>
        <v>0</v>
      </c>
      <c r="G51" s="30"/>
      <c r="H51" s="37"/>
      <c r="I51" s="37">
        <f t="shared" si="1"/>
        <v>0</v>
      </c>
      <c r="J51" s="37"/>
      <c r="K51" s="38"/>
      <c r="L51" s="39"/>
    </row>
    <row r="52" spans="1:12">
      <c r="A52" s="16" t="s">
        <v>86</v>
      </c>
      <c r="B52" s="9"/>
      <c r="C52" s="9"/>
      <c r="D52" s="9"/>
      <c r="E52" s="35"/>
      <c r="F52" s="35">
        <f>SUBTOTAL(109,テーブル131213141516171819202122232427282930313233343536373839404152[仕入金額])</f>
        <v>0</v>
      </c>
      <c r="G52" s="35"/>
      <c r="H52" s="35">
        <f>SUBTOTAL(109,テーブル131213141516171819202122232427282930313233343536373839404152[支払金額])</f>
        <v>0</v>
      </c>
      <c r="I52" s="35">
        <f>テーブル131213141516171819202122232427282930313233343536373839404152[[#Totals],[仕入金額]]-テーブル131213141516171819202122232427282930313233343536373839404152[[#Totals],[支払金額]]</f>
        <v>0</v>
      </c>
      <c r="J52" s="35"/>
      <c r="K52" s="36">
        <f>SUBTOTAL(103,テーブル131213141516171819202122232427282930313233343536373839404152[裕子])</f>
        <v>0</v>
      </c>
      <c r="L52" s="39"/>
    </row>
  </sheetData>
  <phoneticPr fontId="1"/>
  <dataValidations count="4">
    <dataValidation type="list" allowBlank="1" showInputMessage="1" showErrorMessage="1" sqref="G53:G65" xr:uid="{2BA452A1-6CBC-4CCD-B5C0-A209406B4DC8}">
      <formula1>",合銀1,合銀,島銀,振込手数,    "</formula1>
    </dataValidation>
    <dataValidation type="list" allowBlank="1" showInputMessage="1" showErrorMessage="1" sqref="J2:K51" xr:uid="{5B826635-5A06-4D35-A81D-017C39E33811}">
      <formula1>"  ,済"</formula1>
    </dataValidation>
    <dataValidation type="list" allowBlank="1" showInputMessage="1" showErrorMessage="1" sqref="B2:B51" xr:uid="{71BCE72A-DA55-44A8-AB64-4B842588D862}">
      <formula1>"田原,田中,高木,勝田,森山,市村,金築,その他"</formula1>
    </dataValidation>
    <dataValidation type="list" allowBlank="1" showInputMessage="1" showErrorMessage="1" sqref="G2:G51" xr:uid="{156DDDCE-F962-475C-B4C1-14242C44F987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&amp;Cハウジング</oddHeader>
  </headerFooter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28C57-955D-4949-AC44-FA67E7C0E8F3}">
  <sheetPr codeName="Sheet41">
    <tabColor theme="7" tint="0.39997558519241921"/>
  </sheetPr>
  <dimension ref="A1:L52"/>
  <sheetViews>
    <sheetView workbookViewId="0">
      <pane ySplit="1" topLeftCell="A29" activePane="bottomLeft" state="frozen"/>
      <selection pane="bottomLeft" activeCell="L44" sqref="L44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2" ht="31.5">
      <c r="A2" s="3">
        <v>44653</v>
      </c>
      <c r="B2" s="2" t="s">
        <v>101</v>
      </c>
      <c r="C2" s="22" t="s">
        <v>142</v>
      </c>
      <c r="D2" s="2">
        <v>12</v>
      </c>
      <c r="E2" s="30">
        <v>2145</v>
      </c>
      <c r="F2" s="30">
        <f>D2*E2</f>
        <v>25740</v>
      </c>
      <c r="G2" s="30"/>
      <c r="H2" s="30"/>
      <c r="I2" s="30">
        <f>F2-H2</f>
        <v>25740</v>
      </c>
      <c r="J2" s="30" t="s">
        <v>89</v>
      </c>
      <c r="K2" s="31" t="s">
        <v>89</v>
      </c>
      <c r="L2" s="39"/>
    </row>
    <row r="3" spans="1:12">
      <c r="A3" s="3">
        <v>44653</v>
      </c>
      <c r="B3" s="2" t="s">
        <v>101</v>
      </c>
      <c r="C3" s="23" t="s">
        <v>143</v>
      </c>
      <c r="D3" s="1">
        <v>1</v>
      </c>
      <c r="E3" s="32">
        <v>8096</v>
      </c>
      <c r="F3" s="32">
        <f t="shared" ref="F3:F51" si="0">D3*E3</f>
        <v>8096</v>
      </c>
      <c r="G3" s="30"/>
      <c r="H3" s="32"/>
      <c r="I3" s="32">
        <f>I2+F3-H3</f>
        <v>33836</v>
      </c>
      <c r="J3" s="32" t="s">
        <v>89</v>
      </c>
      <c r="K3" s="31" t="s">
        <v>89</v>
      </c>
      <c r="L3" s="39"/>
    </row>
    <row r="4" spans="1:12">
      <c r="A4" s="3">
        <v>44653</v>
      </c>
      <c r="B4" s="2" t="s">
        <v>101</v>
      </c>
      <c r="C4" s="23" t="s">
        <v>144</v>
      </c>
      <c r="D4" s="1">
        <v>3</v>
      </c>
      <c r="E4" s="32">
        <v>3850</v>
      </c>
      <c r="F4" s="32">
        <f t="shared" si="0"/>
        <v>11550</v>
      </c>
      <c r="G4" s="30"/>
      <c r="H4" s="32"/>
      <c r="I4" s="32">
        <f t="shared" ref="I4:I51" si="1">I3+F4-H4</f>
        <v>45386</v>
      </c>
      <c r="J4" s="32" t="s">
        <v>89</v>
      </c>
      <c r="K4" s="31" t="s">
        <v>89</v>
      </c>
      <c r="L4" s="39"/>
    </row>
    <row r="5" spans="1:12">
      <c r="A5" s="3">
        <v>44653</v>
      </c>
      <c r="B5" s="2" t="s">
        <v>101</v>
      </c>
      <c r="C5" s="23" t="s">
        <v>145</v>
      </c>
      <c r="D5" s="1">
        <v>150</v>
      </c>
      <c r="E5" s="32">
        <v>17.600000000000001</v>
      </c>
      <c r="F5" s="32">
        <f t="shared" si="0"/>
        <v>2640</v>
      </c>
      <c r="G5" s="30"/>
      <c r="H5" s="32"/>
      <c r="I5" s="32">
        <f t="shared" si="1"/>
        <v>48026</v>
      </c>
      <c r="J5" s="32" t="s">
        <v>89</v>
      </c>
      <c r="K5" s="31" t="s">
        <v>89</v>
      </c>
      <c r="L5" s="39"/>
    </row>
    <row r="6" spans="1:12">
      <c r="A6" s="3">
        <v>44653</v>
      </c>
      <c r="B6" s="2" t="s">
        <v>101</v>
      </c>
      <c r="C6" s="23" t="s">
        <v>146</v>
      </c>
      <c r="D6" s="1">
        <v>17</v>
      </c>
      <c r="E6" s="32">
        <v>363</v>
      </c>
      <c r="F6" s="32">
        <f t="shared" si="0"/>
        <v>6171</v>
      </c>
      <c r="G6" s="30"/>
      <c r="H6" s="32"/>
      <c r="I6" s="32">
        <f t="shared" si="1"/>
        <v>54197</v>
      </c>
      <c r="J6" s="32" t="s">
        <v>89</v>
      </c>
      <c r="K6" s="31" t="s">
        <v>89</v>
      </c>
      <c r="L6" s="39"/>
    </row>
    <row r="7" spans="1:12">
      <c r="A7" s="4">
        <v>44653</v>
      </c>
      <c r="B7" s="2"/>
      <c r="C7" s="23" t="s">
        <v>147</v>
      </c>
      <c r="D7" s="1">
        <v>1</v>
      </c>
      <c r="E7" s="32">
        <v>3960</v>
      </c>
      <c r="F7" s="32">
        <f t="shared" si="0"/>
        <v>3960</v>
      </c>
      <c r="G7" s="30"/>
      <c r="H7" s="32"/>
      <c r="I7" s="32">
        <f t="shared" si="1"/>
        <v>58157</v>
      </c>
      <c r="J7" s="32" t="s">
        <v>89</v>
      </c>
      <c r="K7" s="31" t="s">
        <v>89</v>
      </c>
      <c r="L7" s="39"/>
    </row>
    <row r="8" spans="1:12" ht="25.5">
      <c r="A8" s="4">
        <v>44660</v>
      </c>
      <c r="B8" s="2" t="s">
        <v>101</v>
      </c>
      <c r="C8" s="24" t="s">
        <v>148</v>
      </c>
      <c r="D8" s="1">
        <v>4</v>
      </c>
      <c r="E8" s="32">
        <v>3938</v>
      </c>
      <c r="F8" s="32">
        <f t="shared" si="0"/>
        <v>15752</v>
      </c>
      <c r="G8" s="30"/>
      <c r="H8" s="32"/>
      <c r="I8" s="32">
        <f t="shared" si="1"/>
        <v>73909</v>
      </c>
      <c r="J8" s="32" t="s">
        <v>89</v>
      </c>
      <c r="K8" s="31" t="s">
        <v>89</v>
      </c>
      <c r="L8" s="39"/>
    </row>
    <row r="9" spans="1:12">
      <c r="A9" s="4">
        <v>44660</v>
      </c>
      <c r="B9" s="2"/>
      <c r="C9" s="23" t="s">
        <v>147</v>
      </c>
      <c r="D9" s="1">
        <v>1</v>
      </c>
      <c r="E9" s="32">
        <v>990</v>
      </c>
      <c r="F9" s="32">
        <f t="shared" si="0"/>
        <v>990</v>
      </c>
      <c r="G9" s="30"/>
      <c r="H9" s="32"/>
      <c r="I9" s="32">
        <f t="shared" si="1"/>
        <v>74899</v>
      </c>
      <c r="J9" s="32" t="s">
        <v>89</v>
      </c>
      <c r="K9" s="31" t="s">
        <v>89</v>
      </c>
      <c r="L9" s="39"/>
    </row>
    <row r="10" spans="1:12">
      <c r="A10" s="48">
        <v>44663</v>
      </c>
      <c r="B10" s="49"/>
      <c r="C10" s="55"/>
      <c r="D10" s="50"/>
      <c r="E10" s="51"/>
      <c r="F10" s="51">
        <f t="shared" si="0"/>
        <v>0</v>
      </c>
      <c r="G10" s="52" t="s">
        <v>90</v>
      </c>
      <c r="H10" s="51">
        <v>74899</v>
      </c>
      <c r="I10" s="51">
        <f t="shared" si="1"/>
        <v>0</v>
      </c>
      <c r="J10" s="51" t="s">
        <v>89</v>
      </c>
      <c r="K10" s="53" t="s">
        <v>89</v>
      </c>
      <c r="L10" s="39"/>
    </row>
    <row r="11" spans="1:12">
      <c r="A11" s="4">
        <v>44672</v>
      </c>
      <c r="B11" s="2"/>
      <c r="C11" s="23" t="s">
        <v>149</v>
      </c>
      <c r="D11" s="1">
        <v>2</v>
      </c>
      <c r="E11" s="32">
        <v>3410</v>
      </c>
      <c r="F11" s="32">
        <f t="shared" si="0"/>
        <v>6820</v>
      </c>
      <c r="G11" s="30"/>
      <c r="H11" s="32"/>
      <c r="I11" s="32">
        <f t="shared" si="1"/>
        <v>6820</v>
      </c>
      <c r="J11" s="32" t="s">
        <v>89</v>
      </c>
      <c r="K11" s="31" t="s">
        <v>89</v>
      </c>
      <c r="L11" s="39"/>
    </row>
    <row r="12" spans="1:12">
      <c r="A12" s="4">
        <v>44672</v>
      </c>
      <c r="B12" s="2"/>
      <c r="C12" s="23" t="s">
        <v>147</v>
      </c>
      <c r="D12" s="1">
        <v>1</v>
      </c>
      <c r="E12" s="32">
        <v>990</v>
      </c>
      <c r="F12" s="32">
        <f t="shared" si="0"/>
        <v>990</v>
      </c>
      <c r="G12" s="30"/>
      <c r="H12" s="32"/>
      <c r="I12" s="32">
        <f t="shared" si="1"/>
        <v>7810</v>
      </c>
      <c r="J12" s="32" t="s">
        <v>89</v>
      </c>
      <c r="K12" s="31" t="s">
        <v>89</v>
      </c>
      <c r="L12" s="39"/>
    </row>
    <row r="13" spans="1:12">
      <c r="A13" s="48">
        <v>44677</v>
      </c>
      <c r="B13" s="49"/>
      <c r="C13" s="55"/>
      <c r="D13" s="50"/>
      <c r="E13" s="51"/>
      <c r="F13" s="51">
        <f t="shared" si="0"/>
        <v>0</v>
      </c>
      <c r="G13" s="52" t="s">
        <v>90</v>
      </c>
      <c r="H13" s="51">
        <v>7810</v>
      </c>
      <c r="I13" s="51">
        <f t="shared" si="1"/>
        <v>0</v>
      </c>
      <c r="J13" s="51" t="s">
        <v>89</v>
      </c>
      <c r="K13" s="53" t="s">
        <v>89</v>
      </c>
      <c r="L13" s="39"/>
    </row>
    <row r="14" spans="1:12" ht="31.5">
      <c r="A14" s="4">
        <v>44694</v>
      </c>
      <c r="B14" s="2" t="s">
        <v>101</v>
      </c>
      <c r="C14" s="22" t="s">
        <v>142</v>
      </c>
      <c r="D14" s="1">
        <v>12</v>
      </c>
      <c r="E14" s="32">
        <v>2145</v>
      </c>
      <c r="F14" s="32">
        <f t="shared" si="0"/>
        <v>25740</v>
      </c>
      <c r="G14" s="30"/>
      <c r="H14" s="32"/>
      <c r="I14" s="32">
        <f t="shared" si="1"/>
        <v>25740</v>
      </c>
      <c r="J14" s="32" t="s">
        <v>89</v>
      </c>
      <c r="K14" s="31" t="s">
        <v>89</v>
      </c>
      <c r="L14" s="39"/>
    </row>
    <row r="15" spans="1:12">
      <c r="A15" s="4">
        <v>44694</v>
      </c>
      <c r="B15" s="2" t="s">
        <v>101</v>
      </c>
      <c r="C15" s="23" t="s">
        <v>150</v>
      </c>
      <c r="D15" s="1">
        <v>20</v>
      </c>
      <c r="E15" s="32">
        <v>605</v>
      </c>
      <c r="F15" s="32">
        <f t="shared" si="0"/>
        <v>12100</v>
      </c>
      <c r="G15" s="30"/>
      <c r="H15" s="32"/>
      <c r="I15" s="32">
        <f t="shared" si="1"/>
        <v>37840</v>
      </c>
      <c r="J15" s="32" t="s">
        <v>89</v>
      </c>
      <c r="K15" s="31" t="s">
        <v>89</v>
      </c>
      <c r="L15" s="39"/>
    </row>
    <row r="16" spans="1:12">
      <c r="A16" s="4">
        <v>44694</v>
      </c>
      <c r="B16" s="2"/>
      <c r="C16" s="23" t="s">
        <v>147</v>
      </c>
      <c r="D16" s="1">
        <v>1</v>
      </c>
      <c r="E16" s="32">
        <v>1980</v>
      </c>
      <c r="F16" s="32">
        <f t="shared" si="0"/>
        <v>1980</v>
      </c>
      <c r="G16" s="30"/>
      <c r="H16" s="32"/>
      <c r="I16" s="32">
        <f t="shared" si="1"/>
        <v>39820</v>
      </c>
      <c r="J16" s="32" t="s">
        <v>89</v>
      </c>
      <c r="K16" s="31" t="s">
        <v>89</v>
      </c>
      <c r="L16" s="39"/>
    </row>
    <row r="17" spans="1:12">
      <c r="A17" s="48">
        <v>44697</v>
      </c>
      <c r="B17" s="49"/>
      <c r="C17" s="55"/>
      <c r="D17" s="50"/>
      <c r="E17" s="51"/>
      <c r="F17" s="51">
        <f t="shared" si="0"/>
        <v>0</v>
      </c>
      <c r="G17" s="52" t="s">
        <v>90</v>
      </c>
      <c r="H17" s="51">
        <v>39820</v>
      </c>
      <c r="I17" s="51">
        <f t="shared" si="1"/>
        <v>0</v>
      </c>
      <c r="J17" s="51" t="s">
        <v>89</v>
      </c>
      <c r="K17" s="53" t="s">
        <v>89</v>
      </c>
      <c r="L17" s="39"/>
    </row>
    <row r="18" spans="1:12">
      <c r="A18" s="4">
        <v>44714</v>
      </c>
      <c r="B18" s="2" t="s">
        <v>101</v>
      </c>
      <c r="C18" s="23" t="s">
        <v>151</v>
      </c>
      <c r="D18" s="1">
        <v>8</v>
      </c>
      <c r="E18" s="32">
        <v>1155</v>
      </c>
      <c r="F18" s="32">
        <f>D18*E18</f>
        <v>9240</v>
      </c>
      <c r="G18" s="30"/>
      <c r="H18" s="32"/>
      <c r="I18" s="32">
        <f>I17+F18-H18</f>
        <v>9240</v>
      </c>
      <c r="J18" s="32" t="s">
        <v>89</v>
      </c>
      <c r="K18" s="31" t="s">
        <v>89</v>
      </c>
      <c r="L18" s="39"/>
    </row>
    <row r="19" spans="1:12">
      <c r="A19" s="4">
        <v>44714</v>
      </c>
      <c r="B19" s="2" t="s">
        <v>101</v>
      </c>
      <c r="C19" s="23" t="s">
        <v>152</v>
      </c>
      <c r="D19" s="1">
        <v>30</v>
      </c>
      <c r="E19" s="32">
        <v>319</v>
      </c>
      <c r="F19" s="32">
        <f>D19*E19</f>
        <v>9570</v>
      </c>
      <c r="G19" s="30"/>
      <c r="H19" s="32"/>
      <c r="I19" s="32">
        <f>I18+F19-H19</f>
        <v>18810</v>
      </c>
      <c r="J19" s="32" t="s">
        <v>89</v>
      </c>
      <c r="K19" s="31" t="s">
        <v>89</v>
      </c>
      <c r="L19" s="39"/>
    </row>
    <row r="20" spans="1:12">
      <c r="A20" s="4">
        <v>44714</v>
      </c>
      <c r="B20" s="2"/>
      <c r="C20" s="23" t="s">
        <v>147</v>
      </c>
      <c r="D20" s="1">
        <v>1</v>
      </c>
      <c r="E20" s="32">
        <v>2970</v>
      </c>
      <c r="F20" s="32">
        <f>D20*E20</f>
        <v>2970</v>
      </c>
      <c r="G20" s="30"/>
      <c r="H20" s="32"/>
      <c r="I20" s="32">
        <f>I19+F20-H20</f>
        <v>21780</v>
      </c>
      <c r="J20" s="32" t="s">
        <v>89</v>
      </c>
      <c r="K20" s="31" t="s">
        <v>89</v>
      </c>
      <c r="L20" s="39"/>
    </row>
    <row r="21" spans="1:12">
      <c r="A21" s="48">
        <v>44718</v>
      </c>
      <c r="B21" s="49"/>
      <c r="C21" s="55"/>
      <c r="D21" s="50"/>
      <c r="E21" s="51"/>
      <c r="F21" s="51">
        <f>D21*E21</f>
        <v>0</v>
      </c>
      <c r="G21" s="52" t="s">
        <v>90</v>
      </c>
      <c r="H21" s="51">
        <v>21780</v>
      </c>
      <c r="I21" s="51">
        <f>I20+F21-H21</f>
        <v>0</v>
      </c>
      <c r="J21" s="51" t="s">
        <v>89</v>
      </c>
      <c r="K21" s="53" t="s">
        <v>89</v>
      </c>
      <c r="L21" s="39"/>
    </row>
    <row r="22" spans="1:12">
      <c r="A22" s="4">
        <v>44718</v>
      </c>
      <c r="B22" s="2" t="s">
        <v>101</v>
      </c>
      <c r="C22" s="23" t="s">
        <v>153</v>
      </c>
      <c r="D22" s="1">
        <v>1</v>
      </c>
      <c r="E22" s="32">
        <v>15290</v>
      </c>
      <c r="F22" s="32">
        <f t="shared" si="0"/>
        <v>15290</v>
      </c>
      <c r="G22" s="30"/>
      <c r="H22" s="32"/>
      <c r="I22" s="32">
        <f>I21+F22-H22</f>
        <v>15290</v>
      </c>
      <c r="J22" s="32" t="s">
        <v>89</v>
      </c>
      <c r="K22" s="31" t="s">
        <v>89</v>
      </c>
      <c r="L22" s="39"/>
    </row>
    <row r="23" spans="1:12">
      <c r="A23" s="4">
        <v>44718</v>
      </c>
      <c r="B23" s="2"/>
      <c r="C23" s="23" t="s">
        <v>147</v>
      </c>
      <c r="D23" s="1">
        <v>1</v>
      </c>
      <c r="E23" s="32">
        <v>990</v>
      </c>
      <c r="F23" s="32">
        <f t="shared" si="0"/>
        <v>990</v>
      </c>
      <c r="G23" s="30"/>
      <c r="H23" s="32"/>
      <c r="I23" s="32">
        <f t="shared" si="1"/>
        <v>16280</v>
      </c>
      <c r="J23" s="32" t="s">
        <v>89</v>
      </c>
      <c r="K23" s="31" t="s">
        <v>89</v>
      </c>
      <c r="L23" s="39"/>
    </row>
    <row r="24" spans="1:12" ht="25.5">
      <c r="A24" s="4">
        <v>44718</v>
      </c>
      <c r="B24" s="2"/>
      <c r="C24" s="24" t="s">
        <v>154</v>
      </c>
      <c r="D24" s="1">
        <v>200</v>
      </c>
      <c r="E24" s="32">
        <v>17.600000000000001</v>
      </c>
      <c r="F24" s="32">
        <f t="shared" si="0"/>
        <v>3520.0000000000005</v>
      </c>
      <c r="G24" s="30"/>
      <c r="H24" s="32"/>
      <c r="I24" s="32">
        <f t="shared" si="1"/>
        <v>19800</v>
      </c>
      <c r="J24" s="32" t="s">
        <v>89</v>
      </c>
      <c r="K24" s="31" t="s">
        <v>89</v>
      </c>
      <c r="L24" s="39"/>
    </row>
    <row r="25" spans="1:12">
      <c r="A25" s="4">
        <v>44718</v>
      </c>
      <c r="B25" s="2"/>
      <c r="C25" s="23" t="s">
        <v>147</v>
      </c>
      <c r="D25" s="1">
        <v>1</v>
      </c>
      <c r="E25" s="32">
        <v>990</v>
      </c>
      <c r="F25" s="32">
        <f t="shared" si="0"/>
        <v>990</v>
      </c>
      <c r="G25" s="30"/>
      <c r="H25" s="32"/>
      <c r="I25" s="32">
        <f t="shared" si="1"/>
        <v>20790</v>
      </c>
      <c r="J25" s="32" t="s">
        <v>89</v>
      </c>
      <c r="K25" s="31" t="s">
        <v>89</v>
      </c>
      <c r="L25" s="39"/>
    </row>
    <row r="26" spans="1:12">
      <c r="A26" s="48">
        <v>44721</v>
      </c>
      <c r="B26" s="49"/>
      <c r="C26" s="54"/>
      <c r="D26" s="50"/>
      <c r="E26" s="51"/>
      <c r="F26" s="51">
        <f t="shared" si="0"/>
        <v>0</v>
      </c>
      <c r="G26" s="52" t="s">
        <v>90</v>
      </c>
      <c r="H26" s="51">
        <v>20790</v>
      </c>
      <c r="I26" s="51">
        <f t="shared" si="1"/>
        <v>0</v>
      </c>
      <c r="J26" s="51" t="s">
        <v>89</v>
      </c>
      <c r="K26" s="53" t="s">
        <v>89</v>
      </c>
      <c r="L26" s="39"/>
    </row>
    <row r="27" spans="1:12">
      <c r="A27" s="4">
        <v>44723</v>
      </c>
      <c r="B27" s="2" t="s">
        <v>101</v>
      </c>
      <c r="C27" s="25" t="s">
        <v>155</v>
      </c>
      <c r="D27" s="1">
        <v>1</v>
      </c>
      <c r="E27" s="32">
        <v>2068</v>
      </c>
      <c r="F27" s="32">
        <f t="shared" si="0"/>
        <v>2068</v>
      </c>
      <c r="G27" s="30"/>
      <c r="H27" s="32"/>
      <c r="I27" s="32">
        <f t="shared" si="1"/>
        <v>2068</v>
      </c>
      <c r="J27" s="32" t="s">
        <v>89</v>
      </c>
      <c r="K27" s="31" t="s">
        <v>89</v>
      </c>
      <c r="L27" s="39"/>
    </row>
    <row r="28" spans="1:12">
      <c r="A28" s="4">
        <v>44723</v>
      </c>
      <c r="B28" s="2"/>
      <c r="C28" s="25" t="s">
        <v>147</v>
      </c>
      <c r="D28" s="1">
        <v>1</v>
      </c>
      <c r="E28" s="32">
        <v>990</v>
      </c>
      <c r="F28" s="32">
        <f t="shared" si="0"/>
        <v>990</v>
      </c>
      <c r="G28" s="30"/>
      <c r="H28" s="32"/>
      <c r="I28" s="32">
        <f t="shared" si="1"/>
        <v>3058</v>
      </c>
      <c r="J28" s="32" t="s">
        <v>89</v>
      </c>
      <c r="K28" s="31" t="s">
        <v>89</v>
      </c>
      <c r="L28" s="39"/>
    </row>
    <row r="29" spans="1:12">
      <c r="A29" s="48">
        <v>44726</v>
      </c>
      <c r="B29" s="49"/>
      <c r="C29" s="54"/>
      <c r="D29" s="50"/>
      <c r="E29" s="51"/>
      <c r="F29" s="51">
        <f t="shared" si="0"/>
        <v>0</v>
      </c>
      <c r="G29" s="52" t="s">
        <v>90</v>
      </c>
      <c r="H29" s="51">
        <v>3058</v>
      </c>
      <c r="I29" s="51">
        <f t="shared" si="1"/>
        <v>0</v>
      </c>
      <c r="J29" s="51" t="s">
        <v>89</v>
      </c>
      <c r="K29" s="53" t="s">
        <v>89</v>
      </c>
      <c r="L29" s="39"/>
    </row>
    <row r="30" spans="1:12" ht="25.5">
      <c r="A30" s="4">
        <v>44726</v>
      </c>
      <c r="B30" s="2" t="s">
        <v>97</v>
      </c>
      <c r="C30" s="24" t="s">
        <v>156</v>
      </c>
      <c r="D30" s="1">
        <v>4</v>
      </c>
      <c r="E30" s="32">
        <v>693</v>
      </c>
      <c r="F30" s="32">
        <f t="shared" si="0"/>
        <v>2772</v>
      </c>
      <c r="G30" s="30"/>
      <c r="H30" s="32"/>
      <c r="I30" s="32">
        <f t="shared" si="1"/>
        <v>2772</v>
      </c>
      <c r="J30" s="32" t="s">
        <v>89</v>
      </c>
      <c r="K30" s="31" t="s">
        <v>89</v>
      </c>
      <c r="L30" s="39"/>
    </row>
    <row r="31" spans="1:12">
      <c r="A31" s="4">
        <v>44726</v>
      </c>
      <c r="B31" s="2"/>
      <c r="C31" s="25" t="s">
        <v>147</v>
      </c>
      <c r="D31" s="1">
        <v>1</v>
      </c>
      <c r="E31" s="32">
        <v>990</v>
      </c>
      <c r="F31" s="32">
        <f t="shared" si="0"/>
        <v>990</v>
      </c>
      <c r="G31" s="30"/>
      <c r="H31" s="32"/>
      <c r="I31" s="32">
        <f t="shared" si="1"/>
        <v>3762</v>
      </c>
      <c r="J31" s="32" t="s">
        <v>89</v>
      </c>
      <c r="K31" s="31" t="s">
        <v>89</v>
      </c>
      <c r="L31" s="39"/>
    </row>
    <row r="32" spans="1:12">
      <c r="A32" s="48">
        <v>44729</v>
      </c>
      <c r="B32" s="49"/>
      <c r="C32" s="54"/>
      <c r="D32" s="50"/>
      <c r="E32" s="51"/>
      <c r="F32" s="51">
        <f t="shared" si="0"/>
        <v>0</v>
      </c>
      <c r="G32" s="52" t="s">
        <v>90</v>
      </c>
      <c r="H32" s="51">
        <v>3762</v>
      </c>
      <c r="I32" s="51">
        <f t="shared" si="1"/>
        <v>0</v>
      </c>
      <c r="J32" s="51" t="s">
        <v>89</v>
      </c>
      <c r="K32" s="53" t="s">
        <v>89</v>
      </c>
      <c r="L32" s="39"/>
    </row>
    <row r="33" spans="1:12">
      <c r="A33" s="4">
        <v>44744</v>
      </c>
      <c r="B33" s="2" t="s">
        <v>101</v>
      </c>
      <c r="C33" s="25" t="s">
        <v>157</v>
      </c>
      <c r="D33" s="1">
        <v>1</v>
      </c>
      <c r="E33" s="32">
        <v>231</v>
      </c>
      <c r="F33" s="32">
        <f t="shared" si="0"/>
        <v>231</v>
      </c>
      <c r="G33" s="30"/>
      <c r="H33" s="32"/>
      <c r="I33" s="32">
        <f t="shared" si="1"/>
        <v>231</v>
      </c>
      <c r="J33" s="32" t="s">
        <v>89</v>
      </c>
      <c r="K33" s="31"/>
      <c r="L33" s="39"/>
    </row>
    <row r="34" spans="1:12">
      <c r="A34" s="4">
        <v>44744</v>
      </c>
      <c r="B34" s="2"/>
      <c r="C34" s="25" t="s">
        <v>147</v>
      </c>
      <c r="D34" s="1">
        <v>1</v>
      </c>
      <c r="E34" s="32">
        <v>990</v>
      </c>
      <c r="F34" s="32">
        <f t="shared" si="0"/>
        <v>990</v>
      </c>
      <c r="G34" s="30"/>
      <c r="H34" s="32"/>
      <c r="I34" s="32">
        <f t="shared" si="1"/>
        <v>1221</v>
      </c>
      <c r="J34" s="32" t="s">
        <v>89</v>
      </c>
      <c r="K34" s="31"/>
      <c r="L34" s="39"/>
    </row>
    <row r="35" spans="1:12">
      <c r="A35" s="48">
        <v>44747</v>
      </c>
      <c r="B35" s="49"/>
      <c r="C35" s="54"/>
      <c r="D35" s="50"/>
      <c r="E35" s="51"/>
      <c r="F35" s="51">
        <f t="shared" si="0"/>
        <v>0</v>
      </c>
      <c r="G35" s="52" t="s">
        <v>90</v>
      </c>
      <c r="H35" s="51">
        <v>1221</v>
      </c>
      <c r="I35" s="51">
        <f t="shared" si="1"/>
        <v>0</v>
      </c>
      <c r="J35" s="51" t="s">
        <v>89</v>
      </c>
      <c r="K35" s="53"/>
      <c r="L35" s="39"/>
    </row>
    <row r="36" spans="1:12">
      <c r="A36" s="4">
        <v>44761</v>
      </c>
      <c r="B36" s="2" t="s">
        <v>104</v>
      </c>
      <c r="C36" s="23" t="s">
        <v>155</v>
      </c>
      <c r="D36" s="1">
        <v>1</v>
      </c>
      <c r="E36" s="32">
        <v>2068</v>
      </c>
      <c r="F36" s="32">
        <f t="shared" si="0"/>
        <v>2068</v>
      </c>
      <c r="G36" s="30"/>
      <c r="H36" s="32"/>
      <c r="I36" s="32">
        <f t="shared" si="1"/>
        <v>2068</v>
      </c>
      <c r="J36" s="32" t="s">
        <v>89</v>
      </c>
      <c r="K36" s="31"/>
      <c r="L36" s="39"/>
    </row>
    <row r="37" spans="1:12">
      <c r="A37" s="4">
        <v>44761</v>
      </c>
      <c r="B37" s="2"/>
      <c r="C37" s="1" t="s">
        <v>147</v>
      </c>
      <c r="D37" s="1">
        <v>1</v>
      </c>
      <c r="E37" s="32">
        <v>990</v>
      </c>
      <c r="F37" s="32">
        <f t="shared" si="0"/>
        <v>990</v>
      </c>
      <c r="G37" s="30"/>
      <c r="H37" s="32"/>
      <c r="I37" s="32">
        <f t="shared" si="1"/>
        <v>3058</v>
      </c>
      <c r="J37" s="32" t="s">
        <v>89</v>
      </c>
      <c r="K37" s="31"/>
      <c r="L37" s="39"/>
    </row>
    <row r="38" spans="1:12">
      <c r="A38" s="4">
        <v>44762</v>
      </c>
      <c r="B38" s="2" t="s">
        <v>92</v>
      </c>
      <c r="C38" s="1" t="s">
        <v>146</v>
      </c>
      <c r="D38" s="1">
        <v>30</v>
      </c>
      <c r="E38" s="32">
        <v>363</v>
      </c>
      <c r="F38" s="32">
        <f t="shared" si="0"/>
        <v>10890</v>
      </c>
      <c r="G38" s="30"/>
      <c r="H38" s="32"/>
      <c r="I38" s="32">
        <f t="shared" si="1"/>
        <v>13948</v>
      </c>
      <c r="J38" s="32" t="s">
        <v>89</v>
      </c>
      <c r="K38" s="31"/>
      <c r="L38" s="39"/>
    </row>
    <row r="39" spans="1:12">
      <c r="A39" s="4">
        <v>44762</v>
      </c>
      <c r="B39" s="2"/>
      <c r="C39" s="1" t="s">
        <v>147</v>
      </c>
      <c r="D39" s="1">
        <v>1</v>
      </c>
      <c r="E39" s="32">
        <v>1980</v>
      </c>
      <c r="F39" s="32">
        <f t="shared" si="0"/>
        <v>1980</v>
      </c>
      <c r="G39" s="30"/>
      <c r="H39" s="32"/>
      <c r="I39" s="32">
        <f t="shared" si="1"/>
        <v>15928</v>
      </c>
      <c r="J39" s="32" t="s">
        <v>89</v>
      </c>
      <c r="K39" s="31"/>
      <c r="L39" s="39"/>
    </row>
    <row r="40" spans="1:12">
      <c r="A40" s="48">
        <v>44764</v>
      </c>
      <c r="B40" s="49"/>
      <c r="C40" s="50"/>
      <c r="D40" s="50"/>
      <c r="E40" s="51"/>
      <c r="F40" s="51">
        <f t="shared" si="0"/>
        <v>0</v>
      </c>
      <c r="G40" s="52" t="s">
        <v>90</v>
      </c>
      <c r="H40" s="51">
        <v>15928</v>
      </c>
      <c r="I40" s="51">
        <f t="shared" si="1"/>
        <v>0</v>
      </c>
      <c r="J40" s="51" t="s">
        <v>89</v>
      </c>
      <c r="K40" s="53"/>
      <c r="L40" s="39"/>
    </row>
    <row r="41" spans="1:12">
      <c r="A41" s="4">
        <v>44767</v>
      </c>
      <c r="B41" s="2" t="s">
        <v>101</v>
      </c>
      <c r="C41" s="23" t="s">
        <v>157</v>
      </c>
      <c r="D41" s="1">
        <v>1</v>
      </c>
      <c r="E41" s="32">
        <v>440</v>
      </c>
      <c r="F41" s="32">
        <f t="shared" si="0"/>
        <v>440</v>
      </c>
      <c r="G41" s="30"/>
      <c r="H41" s="32"/>
      <c r="I41" s="32">
        <f t="shared" si="1"/>
        <v>440</v>
      </c>
      <c r="J41" s="32" t="s">
        <v>89</v>
      </c>
      <c r="K41" s="31"/>
      <c r="L41" s="39"/>
    </row>
    <row r="42" spans="1:12">
      <c r="A42" s="4">
        <v>44767</v>
      </c>
      <c r="B42" s="2" t="s">
        <v>101</v>
      </c>
      <c r="C42" s="47" t="s">
        <v>158</v>
      </c>
      <c r="D42" s="1">
        <v>2</v>
      </c>
      <c r="E42" s="32">
        <v>308</v>
      </c>
      <c r="F42" s="32">
        <f t="shared" si="0"/>
        <v>616</v>
      </c>
      <c r="G42" s="30"/>
      <c r="H42" s="32"/>
      <c r="I42" s="32">
        <f t="shared" si="1"/>
        <v>1056</v>
      </c>
      <c r="J42" s="32" t="s">
        <v>89</v>
      </c>
      <c r="K42" s="31"/>
      <c r="L42" s="39"/>
    </row>
    <row r="43" spans="1:12">
      <c r="A43" s="4">
        <v>44767</v>
      </c>
      <c r="B43" s="2" t="s">
        <v>101</v>
      </c>
      <c r="C43" s="1" t="s">
        <v>159</v>
      </c>
      <c r="D43" s="1">
        <v>1</v>
      </c>
      <c r="E43" s="32">
        <v>3278</v>
      </c>
      <c r="F43" s="32">
        <f t="shared" si="0"/>
        <v>3278</v>
      </c>
      <c r="G43" s="30"/>
      <c r="H43" s="32"/>
      <c r="I43" s="32">
        <f t="shared" si="1"/>
        <v>4334</v>
      </c>
      <c r="J43" s="32" t="s">
        <v>89</v>
      </c>
      <c r="K43" s="31"/>
      <c r="L43" s="39"/>
    </row>
    <row r="44" spans="1:12">
      <c r="A44" s="4">
        <v>44767</v>
      </c>
      <c r="B44" s="2" t="s">
        <v>95</v>
      </c>
      <c r="C44" s="1" t="s">
        <v>146</v>
      </c>
      <c r="D44" s="1">
        <v>16</v>
      </c>
      <c r="E44" s="32">
        <v>363</v>
      </c>
      <c r="F44" s="32">
        <f t="shared" si="0"/>
        <v>5808</v>
      </c>
      <c r="G44" s="30"/>
      <c r="H44" s="32"/>
      <c r="I44" s="32">
        <f t="shared" si="1"/>
        <v>10142</v>
      </c>
      <c r="J44" s="32" t="s">
        <v>89</v>
      </c>
      <c r="K44" s="31"/>
      <c r="L44" s="39"/>
    </row>
    <row r="45" spans="1:12">
      <c r="A45" s="4">
        <v>44767</v>
      </c>
      <c r="B45" s="2"/>
      <c r="C45" s="1" t="s">
        <v>147</v>
      </c>
      <c r="D45" s="1">
        <v>1</v>
      </c>
      <c r="E45" s="32">
        <v>1980</v>
      </c>
      <c r="F45" s="32">
        <f t="shared" si="0"/>
        <v>1980</v>
      </c>
      <c r="G45" s="30"/>
      <c r="H45" s="32"/>
      <c r="I45" s="32">
        <f t="shared" si="1"/>
        <v>12122</v>
      </c>
      <c r="J45" s="32" t="s">
        <v>89</v>
      </c>
      <c r="K45" s="31"/>
      <c r="L45" s="39"/>
    </row>
    <row r="46" spans="1:12">
      <c r="A46" s="48">
        <v>44768</v>
      </c>
      <c r="B46" s="49"/>
      <c r="C46" s="50"/>
      <c r="D46" s="50"/>
      <c r="E46" s="51"/>
      <c r="F46" s="51">
        <f t="shared" si="0"/>
        <v>0</v>
      </c>
      <c r="G46" s="52" t="s">
        <v>90</v>
      </c>
      <c r="H46" s="51">
        <v>12122</v>
      </c>
      <c r="I46" s="51">
        <f t="shared" si="1"/>
        <v>0</v>
      </c>
      <c r="J46" s="51" t="s">
        <v>89</v>
      </c>
      <c r="K46" s="53"/>
      <c r="L46" s="39"/>
    </row>
    <row r="47" spans="1:12">
      <c r="A47" s="4"/>
      <c r="B47" s="2"/>
      <c r="C47" s="1"/>
      <c r="D47" s="1"/>
      <c r="E47" s="32"/>
      <c r="F47" s="32">
        <f>D47*E47</f>
        <v>0</v>
      </c>
      <c r="G47" s="30"/>
      <c r="H47" s="32"/>
      <c r="I47" s="32">
        <f>I46+F47-H47</f>
        <v>0</v>
      </c>
      <c r="J47" s="32"/>
      <c r="K47" s="31"/>
      <c r="L47" s="39"/>
    </row>
    <row r="48" spans="1:12">
      <c r="A48" s="4"/>
      <c r="B48" s="2"/>
      <c r="C48" s="1"/>
      <c r="D48" s="1"/>
      <c r="E48" s="32"/>
      <c r="F48" s="32">
        <f>D48*E48</f>
        <v>0</v>
      </c>
      <c r="G48" s="30"/>
      <c r="H48" s="32"/>
      <c r="I48" s="32">
        <f>I47+F48-H48</f>
        <v>0</v>
      </c>
      <c r="J48" s="32"/>
      <c r="K48" s="31"/>
      <c r="L48" s="39"/>
    </row>
    <row r="49" spans="1:12">
      <c r="A49" s="4"/>
      <c r="B49" s="2"/>
      <c r="C49" s="1"/>
      <c r="D49" s="1"/>
      <c r="E49" s="32"/>
      <c r="F49" s="32">
        <f>D49*E49</f>
        <v>0</v>
      </c>
      <c r="G49" s="30"/>
      <c r="H49" s="32"/>
      <c r="I49" s="32">
        <f>I48+F49-H49</f>
        <v>0</v>
      </c>
      <c r="J49" s="32"/>
      <c r="K49" s="31"/>
      <c r="L49" s="39"/>
    </row>
    <row r="50" spans="1:12">
      <c r="A50" s="4"/>
      <c r="B50" s="2"/>
      <c r="C50" s="1"/>
      <c r="D50" s="1"/>
      <c r="E50" s="32"/>
      <c r="F50" s="32">
        <f t="shared" si="0"/>
        <v>0</v>
      </c>
      <c r="G50" s="30"/>
      <c r="H50" s="32"/>
      <c r="I50" s="32">
        <f>I49+F50-H50</f>
        <v>0</v>
      </c>
      <c r="J50" s="32"/>
      <c r="K50" s="31"/>
      <c r="L50" s="39"/>
    </row>
    <row r="51" spans="1:12">
      <c r="A51" s="8"/>
      <c r="B51" s="9"/>
      <c r="C51" s="10"/>
      <c r="D51" s="10"/>
      <c r="E51" s="37"/>
      <c r="F51" s="37">
        <f t="shared" si="0"/>
        <v>0</v>
      </c>
      <c r="G51" s="30"/>
      <c r="H51" s="37"/>
      <c r="I51" s="37">
        <f t="shared" si="1"/>
        <v>0</v>
      </c>
      <c r="J51" s="37"/>
      <c r="K51" s="38"/>
      <c r="L51" s="39"/>
    </row>
    <row r="52" spans="1:12">
      <c r="A52" s="16" t="s">
        <v>86</v>
      </c>
      <c r="B52" s="9"/>
      <c r="C52" s="9"/>
      <c r="D52" s="9"/>
      <c r="E52" s="35"/>
      <c r="F52" s="35">
        <f>SUBTOTAL(109,テーブル1312131415161718192021222324272829303132333435363738394041[仕入金額])</f>
        <v>201190</v>
      </c>
      <c r="G52" s="35"/>
      <c r="H52" s="35">
        <f>SUBTOTAL(109,テーブル1312131415161718192021222324272829303132333435363738394041[支払金額])</f>
        <v>201190</v>
      </c>
      <c r="I52" s="35">
        <f>テーブル1312131415161718192021222324272829303132333435363738394041[[#Totals],[仕入金額]]-テーブル1312131415161718192021222324272829303132333435363738394041[[#Totals],[支払金額]]</f>
        <v>0</v>
      </c>
      <c r="J52" s="35"/>
      <c r="K52" s="36">
        <f>SUBTOTAL(103,テーブル1312131415161718192021222324272829303132333435363738394041[裕子])</f>
        <v>31</v>
      </c>
      <c r="L52" s="39"/>
    </row>
  </sheetData>
  <phoneticPr fontId="1"/>
  <dataValidations count="4">
    <dataValidation type="list" allowBlank="1" showInputMessage="1" showErrorMessage="1" sqref="G2:G51" xr:uid="{63D7F03D-8E73-4ABC-B9EA-98F18E1EDF05}">
      <formula1>",合銀1,合銀,島銀,現金,振込手数,値引"</formula1>
    </dataValidation>
    <dataValidation type="list" allowBlank="1" showInputMessage="1" showErrorMessage="1" sqref="B2:B51" xr:uid="{74F5AB2C-D9DD-438F-9DF7-2FF6875BF4FD}">
      <formula1>"田原,田中,高木,勝田,森山,市村,金築,その他"</formula1>
    </dataValidation>
    <dataValidation type="list" allowBlank="1" showInputMessage="1" showErrorMessage="1" sqref="J2:K51" xr:uid="{FBA65C91-A1E6-47EC-B546-25906268C100}">
      <formula1>"  ,済"</formula1>
    </dataValidation>
    <dataValidation type="list" allowBlank="1" showInputMessage="1" showErrorMessage="1" sqref="G53:G65" xr:uid="{2C8B43C9-32D0-4F28-9795-0EFAD3240AA6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&amp;Cハウジング</oddHeader>
  </headerFooter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03D4B-AC5F-4787-89BF-338C4C50FB3F}">
  <sheetPr codeName="Sheet42">
    <tabColor rgb="FF00B0F0"/>
  </sheetPr>
  <dimension ref="A1:K48"/>
  <sheetViews>
    <sheetView workbookViewId="0">
      <pane ySplit="1" topLeftCell="A2" activePane="bottomLeft" state="frozen"/>
      <selection pane="bottomLeft" activeCell="N9" sqref="N9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44678</v>
      </c>
      <c r="B2" s="2"/>
      <c r="C2" s="2" t="s">
        <v>160</v>
      </c>
      <c r="D2" s="2">
        <v>1</v>
      </c>
      <c r="E2" s="30">
        <v>9110</v>
      </c>
      <c r="F2" s="30">
        <f>D2*E2</f>
        <v>9110</v>
      </c>
      <c r="G2" s="30"/>
      <c r="H2" s="30"/>
      <c r="I2" s="30">
        <f>F2-H2</f>
        <v>9110</v>
      </c>
      <c r="J2" s="30" t="s">
        <v>89</v>
      </c>
      <c r="K2" s="31" t="s">
        <v>89</v>
      </c>
    </row>
    <row r="3" spans="1:11">
      <c r="A3" s="4">
        <v>44688</v>
      </c>
      <c r="B3" s="2"/>
      <c r="C3" s="2"/>
      <c r="D3" s="1"/>
      <c r="E3" s="32"/>
      <c r="F3" s="32">
        <f t="shared" ref="F3:F47" si="0">D3*E3</f>
        <v>0</v>
      </c>
      <c r="G3" s="30" t="s">
        <v>161</v>
      </c>
      <c r="H3" s="32">
        <v>9110</v>
      </c>
      <c r="I3" s="32">
        <f>I2+F3-H3</f>
        <v>0</v>
      </c>
      <c r="J3" s="30" t="s">
        <v>89</v>
      </c>
      <c r="K3" s="31" t="s">
        <v>89</v>
      </c>
    </row>
    <row r="4" spans="1:11">
      <c r="A4" s="4">
        <v>44708</v>
      </c>
      <c r="B4" s="2"/>
      <c r="C4" s="2" t="s">
        <v>160</v>
      </c>
      <c r="D4" s="1">
        <v>1</v>
      </c>
      <c r="E4" s="32">
        <v>18135</v>
      </c>
      <c r="F4" s="32">
        <f t="shared" si="0"/>
        <v>18135</v>
      </c>
      <c r="G4" s="30"/>
      <c r="H4" s="32"/>
      <c r="I4" s="32">
        <f t="shared" ref="I4:I47" si="1">I3+F4-H4</f>
        <v>18135</v>
      </c>
      <c r="J4" s="30" t="s">
        <v>89</v>
      </c>
      <c r="K4" s="31" t="s">
        <v>89</v>
      </c>
    </row>
    <row r="5" spans="1:11">
      <c r="A5" s="4">
        <v>44717</v>
      </c>
      <c r="B5" s="2"/>
      <c r="C5" s="1"/>
      <c r="D5" s="1"/>
      <c r="E5" s="32"/>
      <c r="F5" s="32">
        <f t="shared" si="0"/>
        <v>0</v>
      </c>
      <c r="G5" s="30" t="s">
        <v>161</v>
      </c>
      <c r="H5" s="32">
        <v>18135</v>
      </c>
      <c r="I5" s="32">
        <f t="shared" si="1"/>
        <v>0</v>
      </c>
      <c r="J5" s="30" t="s">
        <v>89</v>
      </c>
      <c r="K5" s="31" t="s">
        <v>89</v>
      </c>
    </row>
    <row r="6" spans="1:11">
      <c r="A6" s="4">
        <v>44746</v>
      </c>
      <c r="B6" s="2"/>
      <c r="C6" s="2" t="s">
        <v>160</v>
      </c>
      <c r="D6" s="1">
        <v>1</v>
      </c>
      <c r="E6" s="32">
        <v>25088</v>
      </c>
      <c r="F6" s="32">
        <f t="shared" si="0"/>
        <v>25088</v>
      </c>
      <c r="G6" s="30"/>
      <c r="H6" s="32"/>
      <c r="I6" s="32">
        <f t="shared" si="1"/>
        <v>25088</v>
      </c>
      <c r="J6" s="30" t="s">
        <v>89</v>
      </c>
      <c r="K6" s="31" t="s">
        <v>89</v>
      </c>
    </row>
    <row r="7" spans="1:11">
      <c r="A7" s="4">
        <v>44747</v>
      </c>
      <c r="B7" s="2"/>
      <c r="C7" s="1"/>
      <c r="D7" s="1"/>
      <c r="E7" s="32"/>
      <c r="F7" s="32">
        <f t="shared" si="0"/>
        <v>0</v>
      </c>
      <c r="G7" s="30" t="s">
        <v>161</v>
      </c>
      <c r="H7" s="32">
        <v>25088</v>
      </c>
      <c r="I7" s="32">
        <f t="shared" si="1"/>
        <v>0</v>
      </c>
      <c r="J7" s="32"/>
      <c r="K7" s="31"/>
    </row>
    <row r="8" spans="1:11">
      <c r="A8" s="4">
        <v>44773</v>
      </c>
      <c r="B8" s="2"/>
      <c r="C8" s="2" t="s">
        <v>160</v>
      </c>
      <c r="D8" s="1">
        <v>1</v>
      </c>
      <c r="E8" s="32">
        <v>6184</v>
      </c>
      <c r="F8" s="32">
        <f t="shared" si="0"/>
        <v>6184</v>
      </c>
      <c r="G8" s="30"/>
      <c r="H8" s="32"/>
      <c r="I8" s="32">
        <f t="shared" si="1"/>
        <v>6184</v>
      </c>
      <c r="J8" s="32"/>
      <c r="K8" s="31"/>
    </row>
    <row r="9" spans="1:11">
      <c r="A9" s="4">
        <v>44778</v>
      </c>
      <c r="B9" s="2"/>
      <c r="C9" s="1"/>
      <c r="D9" s="1"/>
      <c r="E9" s="32"/>
      <c r="F9" s="32">
        <f t="shared" si="0"/>
        <v>0</v>
      </c>
      <c r="G9" s="30" t="s">
        <v>161</v>
      </c>
      <c r="H9" s="32">
        <v>6184</v>
      </c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42"/>
      <c r="F48" s="42">
        <f>SUBTOTAL(109,テーブル1312131415161718192021222324272829303132333435363738394053[仕入金額])</f>
        <v>58517</v>
      </c>
      <c r="G48" s="42"/>
      <c r="H48" s="42">
        <f>SUBTOTAL(109,テーブル1312131415161718192021222324272829303132333435363738394053[支払金額])</f>
        <v>58517</v>
      </c>
      <c r="I48" s="42">
        <f>テーブル1312131415161718192021222324272829303132333435363738394053[[#Totals],[仕入金額]]-テーブル1312131415161718192021222324272829303132333435363738394053[[#Totals],[支払金額]]</f>
        <v>0</v>
      </c>
      <c r="J48" s="42"/>
      <c r="K48" s="43"/>
    </row>
  </sheetData>
  <phoneticPr fontId="1"/>
  <dataValidations count="4">
    <dataValidation type="list" allowBlank="1" showInputMessage="1" showErrorMessage="1" sqref="G2:G47" xr:uid="{04BF0F80-9F24-452F-83D6-DEA55E7F45A9}">
      <formula1>",合銀1,合銀,島銀,現金,振込手数,値引"</formula1>
    </dataValidation>
    <dataValidation type="list" allowBlank="1" showInputMessage="1" showErrorMessage="1" sqref="B2:B47" xr:uid="{F021C6D9-2736-49FD-997B-4585C7BC891A}">
      <formula1>"田原,田中,高木,勝田,森山,市村,金築,その他"</formula1>
    </dataValidation>
    <dataValidation type="list" allowBlank="1" showInputMessage="1" showErrorMessage="1" sqref="J2:K47" xr:uid="{7B9CFBBC-6C4B-4BAF-8F4D-388C9F27C12B}">
      <formula1>"  ,済"</formula1>
    </dataValidation>
    <dataValidation type="list" allowBlank="1" showInputMessage="1" showErrorMessage="1" sqref="G49:G61" xr:uid="{3B516C19-C12F-4D84-976C-7854E4675EBC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&amp;Cその他</oddHeader>
  </headerFooter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4EFEC-917F-4C13-806C-77A05BAE5784}">
  <sheetPr codeName="Sheet43">
    <tabColor rgb="FF00B0F0"/>
  </sheetPr>
  <dimension ref="A1:K48"/>
  <sheetViews>
    <sheetView workbookViewId="0">
      <pane ySplit="1" topLeftCell="A2" activePane="bottomLeft" state="frozen"/>
      <selection pane="bottomLeft" activeCell="D14" sqref="D14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5.125" bestFit="1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44667</v>
      </c>
      <c r="B2" s="2" t="s">
        <v>97</v>
      </c>
      <c r="C2" s="2" t="s">
        <v>162</v>
      </c>
      <c r="D2" s="2">
        <v>1</v>
      </c>
      <c r="E2" s="30">
        <v>55000</v>
      </c>
      <c r="F2" s="30">
        <f>D2*E2</f>
        <v>55000</v>
      </c>
      <c r="G2" s="30"/>
      <c r="H2" s="30"/>
      <c r="I2" s="30">
        <f>F2-H2</f>
        <v>55000</v>
      </c>
      <c r="J2" s="30" t="s">
        <v>89</v>
      </c>
      <c r="K2" s="31" t="s">
        <v>89</v>
      </c>
    </row>
    <row r="3" spans="1:11">
      <c r="A3" s="4">
        <v>44671</v>
      </c>
      <c r="B3" s="2" t="s">
        <v>97</v>
      </c>
      <c r="C3" s="1" t="s">
        <v>163</v>
      </c>
      <c r="D3" s="1">
        <v>1</v>
      </c>
      <c r="E3" s="32">
        <v>442750</v>
      </c>
      <c r="F3" s="32">
        <f t="shared" ref="F3:F47" si="0">D3*E3</f>
        <v>442750</v>
      </c>
      <c r="G3" s="30"/>
      <c r="H3" s="32"/>
      <c r="I3" s="32">
        <f>I2+F3-H3</f>
        <v>497750</v>
      </c>
      <c r="J3" s="30" t="s">
        <v>89</v>
      </c>
      <c r="K3" s="31" t="s">
        <v>89</v>
      </c>
    </row>
    <row r="4" spans="1:11">
      <c r="A4" s="4">
        <v>44694</v>
      </c>
      <c r="B4" s="2"/>
      <c r="C4" s="1"/>
      <c r="D4" s="1"/>
      <c r="E4" s="32"/>
      <c r="F4" s="32">
        <f t="shared" si="0"/>
        <v>0</v>
      </c>
      <c r="G4" s="30" t="s">
        <v>40</v>
      </c>
      <c r="H4" s="32">
        <v>55000</v>
      </c>
      <c r="I4" s="32">
        <f t="shared" ref="I4:I47" si="1">I3+F4-H4</f>
        <v>442750</v>
      </c>
      <c r="J4" s="30" t="s">
        <v>89</v>
      </c>
      <c r="K4" s="31" t="s">
        <v>89</v>
      </c>
    </row>
    <row r="5" spans="1:11">
      <c r="A5" s="4">
        <v>44701</v>
      </c>
      <c r="B5" s="2"/>
      <c r="C5" s="1"/>
      <c r="D5" s="1"/>
      <c r="E5" s="32"/>
      <c r="F5" s="32">
        <f t="shared" si="0"/>
        <v>0</v>
      </c>
      <c r="G5" s="30" t="s">
        <v>122</v>
      </c>
      <c r="H5" s="32">
        <v>442750</v>
      </c>
      <c r="I5" s="32">
        <f t="shared" si="1"/>
        <v>0</v>
      </c>
      <c r="J5" s="30" t="s">
        <v>89</v>
      </c>
      <c r="K5" s="31" t="s">
        <v>89</v>
      </c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42"/>
      <c r="F48" s="42">
        <f>SUBTOTAL(109,テーブル13121314151617181920212223242728293031323334353637383940[仕入金額])</f>
        <v>497750</v>
      </c>
      <c r="G48" s="42"/>
      <c r="H48" s="42">
        <f>SUBTOTAL(109,テーブル13121314151617181920212223242728293031323334353637383940[支払金額])</f>
        <v>497750</v>
      </c>
      <c r="I48" s="42">
        <f>テーブル13121314151617181920212223242728293031323334353637383940[[#Totals],[仕入金額]]-テーブル13121314151617181920212223242728293031323334353637383940[[#Totals],[支払金額]]</f>
        <v>0</v>
      </c>
      <c r="J48" s="42"/>
      <c r="K48" s="43"/>
    </row>
  </sheetData>
  <phoneticPr fontId="1"/>
  <dataValidations count="4">
    <dataValidation type="list" allowBlank="1" showInputMessage="1" showErrorMessage="1" sqref="G49:G61" xr:uid="{CC24B051-0177-45F2-B4F9-237B00225254}">
      <formula1>",合銀1,合銀,島銀,振込手数,    "</formula1>
    </dataValidation>
    <dataValidation type="list" allowBlank="1" showInputMessage="1" showErrorMessage="1" sqref="J2:K47" xr:uid="{12CBDBB7-5DAE-42CA-88A3-31366F644DFC}">
      <formula1>"  ,済"</formula1>
    </dataValidation>
    <dataValidation type="list" allowBlank="1" showInputMessage="1" showErrorMessage="1" sqref="B2:B47" xr:uid="{5B4C975C-6560-4FBF-867D-D190A332A102}">
      <formula1>"田原,田中,高木,勝田,森山,市村,金築,その他"</formula1>
    </dataValidation>
    <dataValidation type="list" allowBlank="1" showInputMessage="1" showErrorMessage="1" sqref="G2:G47" xr:uid="{87E8447E-81DB-4A53-B04B-10AFA8990168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&amp;Cその他</oddHeader>
  </headerFooter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F7DE7-FF0E-4BFF-A759-BF31667A77D0}">
  <sheetPr codeName="Sheet44">
    <tabColor theme="7" tint="0.39997558519241921"/>
  </sheetPr>
  <dimension ref="A1:K48"/>
  <sheetViews>
    <sheetView workbookViewId="0">
      <pane ySplit="1" topLeftCell="A2" activePane="bottomLeft" state="frozen"/>
      <selection pane="bottomLeft" activeCell="N3" sqref="N3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 ht="25.5">
      <c r="A2" s="3">
        <v>44657</v>
      </c>
      <c r="B2" s="2" t="s">
        <v>97</v>
      </c>
      <c r="C2" s="26" t="s">
        <v>164</v>
      </c>
      <c r="D2" s="2">
        <v>1</v>
      </c>
      <c r="E2" s="30">
        <v>228800</v>
      </c>
      <c r="F2" s="30">
        <f>D2*E2</f>
        <v>228800</v>
      </c>
      <c r="G2" s="30"/>
      <c r="H2" s="30"/>
      <c r="I2" s="30">
        <f>F2-H2</f>
        <v>228800</v>
      </c>
      <c r="J2" s="30" t="s">
        <v>89</v>
      </c>
      <c r="K2" s="31"/>
    </row>
    <row r="3" spans="1:11" ht="25.5">
      <c r="A3" s="3">
        <v>44657</v>
      </c>
      <c r="B3" s="2" t="s">
        <v>97</v>
      </c>
      <c r="C3" s="27" t="s">
        <v>165</v>
      </c>
      <c r="D3" s="1">
        <v>1</v>
      </c>
      <c r="E3" s="32">
        <v>8855</v>
      </c>
      <c r="F3" s="32">
        <f t="shared" ref="F3:F47" si="0">D3*E3</f>
        <v>8855</v>
      </c>
      <c r="G3" s="30"/>
      <c r="H3" s="32"/>
      <c r="I3" s="32">
        <f>I2+F3-H3</f>
        <v>237655</v>
      </c>
      <c r="J3" s="32" t="s">
        <v>89</v>
      </c>
      <c r="K3" s="31"/>
    </row>
    <row r="4" spans="1:11" ht="25.5">
      <c r="A4" s="3">
        <v>44657</v>
      </c>
      <c r="B4" s="2" t="s">
        <v>97</v>
      </c>
      <c r="C4" s="27" t="s">
        <v>166</v>
      </c>
      <c r="D4" s="1">
        <v>1</v>
      </c>
      <c r="E4" s="32">
        <v>1815</v>
      </c>
      <c r="F4" s="32">
        <f t="shared" si="0"/>
        <v>1815</v>
      </c>
      <c r="G4" s="30"/>
      <c r="H4" s="32"/>
      <c r="I4" s="32">
        <f t="shared" ref="I4:I47" si="1">I3+F4-H4</f>
        <v>239470</v>
      </c>
      <c r="J4" s="32" t="s">
        <v>89</v>
      </c>
      <c r="K4" s="31"/>
    </row>
    <row r="5" spans="1:11">
      <c r="A5" s="4">
        <v>44663</v>
      </c>
      <c r="B5" s="2" t="s">
        <v>101</v>
      </c>
      <c r="C5" s="23" t="s">
        <v>167</v>
      </c>
      <c r="D5" s="1">
        <v>6</v>
      </c>
      <c r="E5" s="32">
        <v>6490</v>
      </c>
      <c r="F5" s="32">
        <f t="shared" si="0"/>
        <v>38940</v>
      </c>
      <c r="G5" s="30"/>
      <c r="H5" s="32"/>
      <c r="I5" s="32">
        <f t="shared" si="1"/>
        <v>278410</v>
      </c>
      <c r="J5" s="32" t="s">
        <v>89</v>
      </c>
      <c r="K5" s="31"/>
    </row>
    <row r="6" spans="1:11">
      <c r="A6" s="4">
        <v>44687</v>
      </c>
      <c r="B6" s="2" t="s">
        <v>101</v>
      </c>
      <c r="C6" s="23" t="s">
        <v>167</v>
      </c>
      <c r="D6" s="1">
        <v>23</v>
      </c>
      <c r="E6" s="32">
        <v>6490</v>
      </c>
      <c r="F6" s="32">
        <f t="shared" si="0"/>
        <v>149270</v>
      </c>
      <c r="G6" s="30"/>
      <c r="H6" s="32"/>
      <c r="I6" s="32">
        <f t="shared" si="1"/>
        <v>427680</v>
      </c>
      <c r="J6" s="32" t="s">
        <v>89</v>
      </c>
      <c r="K6" s="31"/>
    </row>
    <row r="7" spans="1:11">
      <c r="A7" s="4">
        <v>44701</v>
      </c>
      <c r="B7" s="2" t="s">
        <v>101</v>
      </c>
      <c r="C7" s="23" t="s">
        <v>168</v>
      </c>
      <c r="D7" s="1">
        <v>65</v>
      </c>
      <c r="E7" s="32">
        <v>1375</v>
      </c>
      <c r="F7" s="32">
        <f t="shared" si="0"/>
        <v>89375</v>
      </c>
      <c r="G7" s="30"/>
      <c r="H7" s="32"/>
      <c r="I7" s="32">
        <f t="shared" si="1"/>
        <v>517055</v>
      </c>
      <c r="J7" s="32" t="s">
        <v>89</v>
      </c>
      <c r="K7" s="31"/>
    </row>
    <row r="8" spans="1:11">
      <c r="A8" s="4">
        <v>44707</v>
      </c>
      <c r="B8" s="2" t="s">
        <v>101</v>
      </c>
      <c r="C8" s="23" t="s">
        <v>169</v>
      </c>
      <c r="D8" s="1">
        <v>1</v>
      </c>
      <c r="E8" s="32">
        <v>1925</v>
      </c>
      <c r="F8" s="32">
        <f t="shared" si="0"/>
        <v>1925</v>
      </c>
      <c r="G8" s="30"/>
      <c r="H8" s="32"/>
      <c r="I8" s="32">
        <f t="shared" si="1"/>
        <v>518980</v>
      </c>
      <c r="J8" s="32" t="s">
        <v>89</v>
      </c>
      <c r="K8" s="31"/>
    </row>
    <row r="9" spans="1:11">
      <c r="A9" s="4">
        <v>44712</v>
      </c>
      <c r="B9" s="2" t="s">
        <v>101</v>
      </c>
      <c r="C9" s="23" t="s">
        <v>170</v>
      </c>
      <c r="D9" s="1">
        <v>12</v>
      </c>
      <c r="E9" s="32">
        <v>2640</v>
      </c>
      <c r="F9" s="32">
        <f t="shared" si="0"/>
        <v>31680</v>
      </c>
      <c r="G9" s="30"/>
      <c r="H9" s="32"/>
      <c r="I9" s="32">
        <f t="shared" si="1"/>
        <v>550660</v>
      </c>
      <c r="J9" s="32" t="s">
        <v>89</v>
      </c>
      <c r="K9" s="31"/>
    </row>
    <row r="10" spans="1:11">
      <c r="A10" s="4"/>
      <c r="B10" s="2"/>
      <c r="C10" s="23"/>
      <c r="D10" s="1"/>
      <c r="E10" s="32"/>
      <c r="F10" s="32">
        <f t="shared" si="0"/>
        <v>0</v>
      </c>
      <c r="G10" s="30"/>
      <c r="H10" s="32"/>
      <c r="I10" s="32">
        <f t="shared" si="1"/>
        <v>550660</v>
      </c>
      <c r="J10" s="32"/>
      <c r="K10" s="31"/>
    </row>
    <row r="11" spans="1:11">
      <c r="A11" s="4"/>
      <c r="B11" s="2"/>
      <c r="C11" s="23"/>
      <c r="D11" s="1"/>
      <c r="E11" s="32"/>
      <c r="F11" s="32">
        <f t="shared" si="0"/>
        <v>0</v>
      </c>
      <c r="G11" s="30"/>
      <c r="H11" s="32"/>
      <c r="I11" s="32">
        <f t="shared" si="1"/>
        <v>550660</v>
      </c>
      <c r="J11" s="32"/>
      <c r="K11" s="31"/>
    </row>
    <row r="12" spans="1:11">
      <c r="A12" s="4"/>
      <c r="B12" s="2"/>
      <c r="C12" s="23"/>
      <c r="D12" s="1"/>
      <c r="E12" s="32"/>
      <c r="F12" s="32">
        <f t="shared" si="0"/>
        <v>0</v>
      </c>
      <c r="G12" s="30"/>
      <c r="H12" s="32"/>
      <c r="I12" s="32">
        <f t="shared" si="1"/>
        <v>550660</v>
      </c>
      <c r="J12" s="32"/>
      <c r="K12" s="31"/>
    </row>
    <row r="13" spans="1:11">
      <c r="A13" s="4"/>
      <c r="B13" s="2"/>
      <c r="C13" s="23"/>
      <c r="D13" s="1"/>
      <c r="E13" s="32"/>
      <c r="F13" s="32">
        <f t="shared" si="0"/>
        <v>0</v>
      </c>
      <c r="G13" s="30"/>
      <c r="H13" s="32"/>
      <c r="I13" s="32">
        <f t="shared" si="1"/>
        <v>550660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550660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550660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550660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550660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550660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550660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550660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550660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550660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550660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550660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550660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550660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550660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550660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550660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550660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550660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550660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550660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550660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550660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550660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550660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550660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550660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550660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550660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550660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550660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550660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550660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550660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550660</v>
      </c>
      <c r="J47" s="37"/>
      <c r="K47" s="38"/>
    </row>
    <row r="48" spans="1:11">
      <c r="A48" s="16" t="s">
        <v>86</v>
      </c>
      <c r="B48" s="9"/>
      <c r="C48" s="9"/>
      <c r="D48" s="9"/>
      <c r="E48" s="35"/>
      <c r="F48" s="35">
        <f>SUBTOTAL(109,テーブル131213141516171819202122232427282930313233343536373839404142[仕入金額])</f>
        <v>550660</v>
      </c>
      <c r="G48" s="35"/>
      <c r="H48" s="35">
        <f>SUBTOTAL(109,テーブル131213141516171819202122232427282930313233343536373839404142[支払金額])</f>
        <v>0</v>
      </c>
      <c r="I48" s="35">
        <f>テーブル131213141516171819202122232427282930313233343536373839404142[[#Totals],[仕入金額]]-テーブル131213141516171819202122232427282930313233343536373839404142[[#Totals],[支払金額]]</f>
        <v>550660</v>
      </c>
      <c r="J48" s="35"/>
      <c r="K48" s="36">
        <f>SUBTOTAL(103,テーブル131213141516171819202122232427282930313233343536373839404142[裕子])</f>
        <v>0</v>
      </c>
    </row>
  </sheetData>
  <phoneticPr fontId="1"/>
  <dataValidations count="4">
    <dataValidation type="list" allowBlank="1" showInputMessage="1" showErrorMessage="1" sqref="G49:G61" xr:uid="{2F4D43BC-E363-450D-ACCB-A1FBC3A7D4D0}">
      <formula1>",合銀1,合銀,島銀,振込手数,    "</formula1>
    </dataValidation>
    <dataValidation type="list" allowBlank="1" showInputMessage="1" showErrorMessage="1" sqref="J2:K47" xr:uid="{54FFAFA8-C28F-47AF-8D16-DBA387859584}">
      <formula1>"  ,済"</formula1>
    </dataValidation>
    <dataValidation type="list" allowBlank="1" showInputMessage="1" showErrorMessage="1" sqref="B2:B47" xr:uid="{78203598-8831-4B77-99ED-DD4ECC057A2D}">
      <formula1>"田原,田中,高木,勝田,森山,市村,金築,その他"</formula1>
    </dataValidation>
    <dataValidation type="list" allowBlank="1" showInputMessage="1" showErrorMessage="1" sqref="G2:G47" xr:uid="{AF6EA92B-F418-4C9E-879A-B049A5E3B210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&amp;C在庫（内田預かり分）</oddHeader>
  </headerFooter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5D4D4-E663-4192-960C-9B370749A106}">
  <sheetPr codeName="Sheet45">
    <tabColor theme="7" tint="0.39997558519241921"/>
  </sheetPr>
  <dimension ref="A1:K48"/>
  <sheetViews>
    <sheetView workbookViewId="0">
      <pane ySplit="1" topLeftCell="A8" activePane="bottomLeft" state="frozen"/>
      <selection pane="bottomLeft" activeCell="L5" sqref="L5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44661</v>
      </c>
      <c r="B2" s="2" t="s">
        <v>101</v>
      </c>
      <c r="C2" s="21" t="s">
        <v>171</v>
      </c>
      <c r="D2" s="2">
        <v>4</v>
      </c>
      <c r="E2" s="30">
        <v>3850</v>
      </c>
      <c r="F2" s="30">
        <f>D2*E2</f>
        <v>15400</v>
      </c>
      <c r="G2" s="30"/>
      <c r="H2" s="30"/>
      <c r="I2" s="30">
        <f>F2-H2</f>
        <v>15400</v>
      </c>
      <c r="J2" s="30" t="s">
        <v>89</v>
      </c>
      <c r="K2" s="31"/>
    </row>
    <row r="3" spans="1:11">
      <c r="A3" s="4">
        <v>44661</v>
      </c>
      <c r="B3" s="2" t="s">
        <v>101</v>
      </c>
      <c r="C3" s="23" t="s">
        <v>172</v>
      </c>
      <c r="D3" s="1">
        <v>10</v>
      </c>
      <c r="E3" s="32">
        <v>13500</v>
      </c>
      <c r="F3" s="32">
        <f t="shared" ref="F3:F47" si="0">D3*E3</f>
        <v>135000</v>
      </c>
      <c r="G3" s="30"/>
      <c r="H3" s="32"/>
      <c r="I3" s="32">
        <f>I2+F3-H3</f>
        <v>150400</v>
      </c>
      <c r="J3" s="32" t="s">
        <v>89</v>
      </c>
      <c r="K3" s="31"/>
    </row>
    <row r="4" spans="1:11">
      <c r="A4" s="4">
        <v>44682</v>
      </c>
      <c r="B4" s="2" t="s">
        <v>101</v>
      </c>
      <c r="C4" s="23" t="s">
        <v>173</v>
      </c>
      <c r="D4" s="1">
        <v>5</v>
      </c>
      <c r="E4" s="32">
        <v>605</v>
      </c>
      <c r="F4" s="32">
        <f t="shared" si="0"/>
        <v>3025</v>
      </c>
      <c r="G4" s="30"/>
      <c r="H4" s="32"/>
      <c r="I4" s="32">
        <f t="shared" ref="I4:I47" si="1">I3+F4-H4</f>
        <v>153425</v>
      </c>
      <c r="J4" s="32" t="s">
        <v>89</v>
      </c>
      <c r="K4" s="31"/>
    </row>
    <row r="5" spans="1:11">
      <c r="A5" s="4">
        <v>44692</v>
      </c>
      <c r="B5" s="2" t="s">
        <v>101</v>
      </c>
      <c r="C5" s="23" t="s">
        <v>174</v>
      </c>
      <c r="D5" s="1">
        <v>50</v>
      </c>
      <c r="E5" s="32">
        <v>335.5</v>
      </c>
      <c r="F5" s="32">
        <f t="shared" si="0"/>
        <v>16775</v>
      </c>
      <c r="G5" s="30"/>
      <c r="H5" s="32"/>
      <c r="I5" s="32">
        <f t="shared" si="1"/>
        <v>170200</v>
      </c>
      <c r="J5" s="32" t="s">
        <v>89</v>
      </c>
      <c r="K5" s="31"/>
    </row>
    <row r="6" spans="1:11">
      <c r="A6" s="4">
        <v>44705</v>
      </c>
      <c r="B6" s="2" t="s">
        <v>101</v>
      </c>
      <c r="C6" s="23" t="s">
        <v>175</v>
      </c>
      <c r="D6" s="1">
        <v>17</v>
      </c>
      <c r="E6" s="32">
        <v>704</v>
      </c>
      <c r="F6" s="32">
        <f t="shared" si="0"/>
        <v>11968</v>
      </c>
      <c r="G6" s="30"/>
      <c r="H6" s="32"/>
      <c r="I6" s="32">
        <f t="shared" si="1"/>
        <v>182168</v>
      </c>
      <c r="J6" s="32" t="s">
        <v>89</v>
      </c>
      <c r="K6" s="31"/>
    </row>
    <row r="7" spans="1:11">
      <c r="A7" s="4">
        <v>44713</v>
      </c>
      <c r="B7" s="2" t="s">
        <v>101</v>
      </c>
      <c r="C7" s="23" t="s">
        <v>174</v>
      </c>
      <c r="D7" s="1">
        <v>20</v>
      </c>
      <c r="E7" s="32">
        <v>335.5</v>
      </c>
      <c r="F7" s="32">
        <f t="shared" si="0"/>
        <v>6710</v>
      </c>
      <c r="G7" s="30"/>
      <c r="H7" s="32"/>
      <c r="I7" s="32">
        <f t="shared" si="1"/>
        <v>188878</v>
      </c>
      <c r="J7" s="32" t="s">
        <v>89</v>
      </c>
      <c r="K7" s="31"/>
    </row>
    <row r="8" spans="1:11">
      <c r="A8" s="4">
        <v>44713</v>
      </c>
      <c r="B8" s="2" t="s">
        <v>101</v>
      </c>
      <c r="C8" s="23" t="s">
        <v>176</v>
      </c>
      <c r="D8" s="1">
        <v>16</v>
      </c>
      <c r="E8" s="32">
        <v>979</v>
      </c>
      <c r="F8" s="32">
        <f t="shared" si="0"/>
        <v>15664</v>
      </c>
      <c r="G8" s="30"/>
      <c r="H8" s="32"/>
      <c r="I8" s="32">
        <f t="shared" si="1"/>
        <v>204542</v>
      </c>
      <c r="J8" s="32" t="s">
        <v>89</v>
      </c>
      <c r="K8" s="31"/>
    </row>
    <row r="9" spans="1:11">
      <c r="A9" s="4">
        <v>44713</v>
      </c>
      <c r="B9" s="2" t="s">
        <v>101</v>
      </c>
      <c r="C9" s="23" t="s">
        <v>177</v>
      </c>
      <c r="D9" s="1">
        <v>7</v>
      </c>
      <c r="E9" s="32">
        <v>308</v>
      </c>
      <c r="F9" s="32">
        <f t="shared" si="0"/>
        <v>2156</v>
      </c>
      <c r="G9" s="30"/>
      <c r="H9" s="32"/>
      <c r="I9" s="32">
        <f t="shared" si="1"/>
        <v>206698</v>
      </c>
      <c r="J9" s="32" t="s">
        <v>89</v>
      </c>
      <c r="K9" s="31"/>
    </row>
    <row r="10" spans="1:11">
      <c r="A10" s="4">
        <v>44714</v>
      </c>
      <c r="B10" s="2" t="s">
        <v>101</v>
      </c>
      <c r="C10" s="23" t="s">
        <v>178</v>
      </c>
      <c r="D10" s="1">
        <v>4</v>
      </c>
      <c r="E10" s="32">
        <v>231</v>
      </c>
      <c r="F10" s="32">
        <f t="shared" si="0"/>
        <v>924</v>
      </c>
      <c r="G10" s="30"/>
      <c r="H10" s="32"/>
      <c r="I10" s="32">
        <f t="shared" si="1"/>
        <v>207622</v>
      </c>
      <c r="J10" s="32" t="s">
        <v>89</v>
      </c>
      <c r="K10" s="31"/>
    </row>
    <row r="11" spans="1:11">
      <c r="A11" s="4">
        <v>44714</v>
      </c>
      <c r="B11" s="2" t="s">
        <v>101</v>
      </c>
      <c r="C11" s="23" t="s">
        <v>179</v>
      </c>
      <c r="D11" s="1">
        <v>7</v>
      </c>
      <c r="E11" s="32">
        <v>1859</v>
      </c>
      <c r="F11" s="32">
        <f t="shared" si="0"/>
        <v>13013</v>
      </c>
      <c r="G11" s="30"/>
      <c r="H11" s="32"/>
      <c r="I11" s="32">
        <f t="shared" si="1"/>
        <v>220635</v>
      </c>
      <c r="J11" s="32" t="s">
        <v>89</v>
      </c>
      <c r="K11" s="31"/>
    </row>
    <row r="12" spans="1:11">
      <c r="A12" s="4">
        <v>44717</v>
      </c>
      <c r="B12" s="2" t="s">
        <v>104</v>
      </c>
      <c r="C12" s="23" t="s">
        <v>180</v>
      </c>
      <c r="D12" s="1">
        <v>34</v>
      </c>
      <c r="E12" s="32">
        <v>506</v>
      </c>
      <c r="F12" s="32">
        <f t="shared" si="0"/>
        <v>17204</v>
      </c>
      <c r="G12" s="30"/>
      <c r="H12" s="32"/>
      <c r="I12" s="32">
        <f t="shared" si="1"/>
        <v>237839</v>
      </c>
      <c r="J12" s="32" t="s">
        <v>89</v>
      </c>
      <c r="K12" s="31"/>
    </row>
    <row r="13" spans="1:11">
      <c r="A13" s="4"/>
      <c r="B13" s="2"/>
      <c r="C13" s="23"/>
      <c r="D13" s="1"/>
      <c r="E13" s="32"/>
      <c r="F13" s="32">
        <f t="shared" si="0"/>
        <v>0</v>
      </c>
      <c r="G13" s="30"/>
      <c r="H13" s="32"/>
      <c r="I13" s="32">
        <f t="shared" si="1"/>
        <v>237839</v>
      </c>
      <c r="J13" s="32"/>
      <c r="K13" s="31"/>
    </row>
    <row r="14" spans="1:11">
      <c r="A14" s="4"/>
      <c r="B14" s="2"/>
      <c r="C14" s="23"/>
      <c r="D14" s="1"/>
      <c r="E14" s="32"/>
      <c r="F14" s="32">
        <f t="shared" si="0"/>
        <v>0</v>
      </c>
      <c r="G14" s="30"/>
      <c r="H14" s="32"/>
      <c r="I14" s="32">
        <f t="shared" si="1"/>
        <v>237839</v>
      </c>
      <c r="J14" s="32"/>
      <c r="K14" s="31"/>
    </row>
    <row r="15" spans="1:11">
      <c r="A15" s="4"/>
      <c r="B15" s="2"/>
      <c r="C15" s="23"/>
      <c r="D15" s="1"/>
      <c r="E15" s="32"/>
      <c r="F15" s="32">
        <f t="shared" si="0"/>
        <v>0</v>
      </c>
      <c r="G15" s="30"/>
      <c r="H15" s="32"/>
      <c r="I15" s="32">
        <f t="shared" si="1"/>
        <v>237839</v>
      </c>
      <c r="J15" s="32"/>
      <c r="K15" s="31"/>
    </row>
    <row r="16" spans="1:11">
      <c r="A16" s="4"/>
      <c r="B16" s="2"/>
      <c r="C16" s="23"/>
      <c r="D16" s="1"/>
      <c r="E16" s="32"/>
      <c r="F16" s="32">
        <f t="shared" si="0"/>
        <v>0</v>
      </c>
      <c r="G16" s="30"/>
      <c r="H16" s="32"/>
      <c r="I16" s="32">
        <f t="shared" si="1"/>
        <v>237839</v>
      </c>
      <c r="J16" s="32"/>
      <c r="K16" s="31"/>
    </row>
    <row r="17" spans="1:11">
      <c r="A17" s="4"/>
      <c r="B17" s="2"/>
      <c r="C17" s="23"/>
      <c r="D17" s="1"/>
      <c r="E17" s="32"/>
      <c r="F17" s="32">
        <f t="shared" si="0"/>
        <v>0</v>
      </c>
      <c r="G17" s="30"/>
      <c r="H17" s="32"/>
      <c r="I17" s="32">
        <f t="shared" si="1"/>
        <v>237839</v>
      </c>
      <c r="J17" s="32"/>
      <c r="K17" s="31"/>
    </row>
    <row r="18" spans="1:11">
      <c r="A18" s="4"/>
      <c r="B18" s="2"/>
      <c r="C18" s="23"/>
      <c r="D18" s="1"/>
      <c r="E18" s="32"/>
      <c r="F18" s="32">
        <f t="shared" si="0"/>
        <v>0</v>
      </c>
      <c r="G18" s="30"/>
      <c r="H18" s="32"/>
      <c r="I18" s="32">
        <f t="shared" si="1"/>
        <v>237839</v>
      </c>
      <c r="J18" s="32"/>
      <c r="K18" s="31"/>
    </row>
    <row r="19" spans="1:11">
      <c r="A19" s="4"/>
      <c r="B19" s="2"/>
      <c r="C19" s="23"/>
      <c r="D19" s="1"/>
      <c r="E19" s="32"/>
      <c r="F19" s="32">
        <f t="shared" si="0"/>
        <v>0</v>
      </c>
      <c r="G19" s="30"/>
      <c r="H19" s="32"/>
      <c r="I19" s="32">
        <f t="shared" si="1"/>
        <v>237839</v>
      </c>
      <c r="J19" s="32"/>
      <c r="K19" s="31"/>
    </row>
    <row r="20" spans="1:11">
      <c r="A20" s="4"/>
      <c r="B20" s="2"/>
      <c r="C20" s="23"/>
      <c r="D20" s="1"/>
      <c r="E20" s="32"/>
      <c r="F20" s="32">
        <f t="shared" si="0"/>
        <v>0</v>
      </c>
      <c r="G20" s="30"/>
      <c r="H20" s="32"/>
      <c r="I20" s="32">
        <f t="shared" si="1"/>
        <v>237839</v>
      </c>
      <c r="J20" s="32"/>
      <c r="K20" s="31"/>
    </row>
    <row r="21" spans="1:11">
      <c r="A21" s="4"/>
      <c r="B21" s="2"/>
      <c r="C21" s="23"/>
      <c r="D21" s="1"/>
      <c r="E21" s="32"/>
      <c r="F21" s="32">
        <f t="shared" si="0"/>
        <v>0</v>
      </c>
      <c r="G21" s="30"/>
      <c r="H21" s="32"/>
      <c r="I21" s="32">
        <f t="shared" si="1"/>
        <v>237839</v>
      </c>
      <c r="J21" s="32"/>
      <c r="K21" s="31"/>
    </row>
    <row r="22" spans="1:11">
      <c r="A22" s="4"/>
      <c r="B22" s="2"/>
      <c r="C22" s="23"/>
      <c r="D22" s="1"/>
      <c r="E22" s="32"/>
      <c r="F22" s="32">
        <f t="shared" si="0"/>
        <v>0</v>
      </c>
      <c r="G22" s="30"/>
      <c r="H22" s="32"/>
      <c r="I22" s="32">
        <f t="shared" si="1"/>
        <v>237839</v>
      </c>
      <c r="J22" s="32"/>
      <c r="K22" s="31"/>
    </row>
    <row r="23" spans="1:11">
      <c r="A23" s="4"/>
      <c r="B23" s="2"/>
      <c r="C23" s="23"/>
      <c r="D23" s="1"/>
      <c r="E23" s="32"/>
      <c r="F23" s="32">
        <f t="shared" si="0"/>
        <v>0</v>
      </c>
      <c r="G23" s="30"/>
      <c r="H23" s="32"/>
      <c r="I23" s="32">
        <f t="shared" si="1"/>
        <v>237839</v>
      </c>
      <c r="J23" s="32"/>
      <c r="K23" s="31"/>
    </row>
    <row r="24" spans="1:11">
      <c r="A24" s="4"/>
      <c r="B24" s="2"/>
      <c r="C24" s="23"/>
      <c r="D24" s="1"/>
      <c r="E24" s="32"/>
      <c r="F24" s="32">
        <f t="shared" si="0"/>
        <v>0</v>
      </c>
      <c r="G24" s="30"/>
      <c r="H24" s="32"/>
      <c r="I24" s="32">
        <f t="shared" si="1"/>
        <v>237839</v>
      </c>
      <c r="J24" s="32"/>
      <c r="K24" s="31"/>
    </row>
    <row r="25" spans="1:11">
      <c r="A25" s="4"/>
      <c r="B25" s="2"/>
      <c r="C25" s="23"/>
      <c r="D25" s="1"/>
      <c r="E25" s="32"/>
      <c r="F25" s="32">
        <f t="shared" si="0"/>
        <v>0</v>
      </c>
      <c r="G25" s="30"/>
      <c r="H25" s="32"/>
      <c r="I25" s="32">
        <f t="shared" si="1"/>
        <v>237839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237839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237839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237839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237839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237839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237839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237839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237839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237839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237839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237839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237839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237839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237839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237839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237839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237839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237839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237839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237839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237839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237839</v>
      </c>
      <c r="J47" s="37"/>
      <c r="K47" s="38"/>
    </row>
    <row r="48" spans="1:11">
      <c r="A48" s="16" t="s">
        <v>86</v>
      </c>
      <c r="B48" s="9"/>
      <c r="C48" s="9"/>
      <c r="D48" s="9"/>
      <c r="E48" s="35"/>
      <c r="F48" s="35">
        <f>SUBTOTAL(109,テーブル13121314151617181920212223242728293031323334353637383940414243[仕入金額])</f>
        <v>237839</v>
      </c>
      <c r="G48" s="35"/>
      <c r="H48" s="35">
        <f>SUBTOTAL(109,テーブル13121314151617181920212223242728293031323334353637383940414243[支払金額])</f>
        <v>0</v>
      </c>
      <c r="I48" s="35">
        <f>テーブル13121314151617181920212223242728293031323334353637383940414243[[#Totals],[仕入金額]]-テーブル13121314151617181920212223242728293031323334353637383940414243[[#Totals],[支払金額]]</f>
        <v>237839</v>
      </c>
      <c r="J48" s="35"/>
      <c r="K48" s="36">
        <f>SUBTOTAL(103,テーブル13121314151617181920212223242728293031323334353637383940414243[裕子])</f>
        <v>0</v>
      </c>
    </row>
  </sheetData>
  <phoneticPr fontId="1"/>
  <dataValidations count="4">
    <dataValidation type="list" allowBlank="1" showInputMessage="1" showErrorMessage="1" sqref="G2:G47" xr:uid="{564DDCFF-2C0C-47D1-9DC9-A7EE4D615D5F}">
      <formula1>",合銀1,合銀,島銀,現金,振込手数,値引"</formula1>
    </dataValidation>
    <dataValidation type="list" allowBlank="1" showInputMessage="1" showErrorMessage="1" sqref="B2:B47" xr:uid="{9C51CEFA-F42E-4A82-A0E6-3C32A7ECA5FE}">
      <formula1>"田原,田中,高木,勝田,森山,市村,金築,その他"</formula1>
    </dataValidation>
    <dataValidation type="list" allowBlank="1" showInputMessage="1" showErrorMessage="1" sqref="J2:K47" xr:uid="{3E77C5E9-DA19-4803-AFD1-251C83B23A3F}">
      <formula1>"  ,済"</formula1>
    </dataValidation>
    <dataValidation type="list" allowBlank="1" showInputMessage="1" showErrorMessage="1" sqref="G49:G61" xr:uid="{14DA9110-2281-446C-99B3-D23896047B7B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&amp;C在庫（自社）</oddHeader>
  </headerFooter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431EE-64AD-4FD2-99E2-B147C9371534}">
  <sheetPr codeName="Sheet46">
    <tabColor theme="9" tint="0.39997558519241921"/>
  </sheetPr>
  <dimension ref="A1:L49"/>
  <sheetViews>
    <sheetView workbookViewId="0">
      <pane ySplit="1" topLeftCell="A2" activePane="bottomLeft" state="frozen"/>
      <selection pane="bottomLeft" activeCell="K2" sqref="K2:K5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2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2">
      <c r="A2" s="3">
        <v>44732</v>
      </c>
      <c r="B2" s="2" t="s">
        <v>97</v>
      </c>
      <c r="C2" s="2" t="s">
        <v>181</v>
      </c>
      <c r="D2" s="2">
        <v>1</v>
      </c>
      <c r="E2" s="30">
        <v>70000</v>
      </c>
      <c r="F2" s="30">
        <f>D2*E2</f>
        <v>70000</v>
      </c>
      <c r="G2" s="30"/>
      <c r="H2" s="30"/>
      <c r="I2" s="30">
        <f>F2-H2</f>
        <v>70000</v>
      </c>
      <c r="J2" s="30" t="s">
        <v>89</v>
      </c>
      <c r="K2" s="31" t="s">
        <v>89</v>
      </c>
      <c r="L2" s="39"/>
    </row>
    <row r="3" spans="1:12">
      <c r="A3" s="4">
        <v>44732</v>
      </c>
      <c r="B3" s="2" t="s">
        <v>97</v>
      </c>
      <c r="C3" s="1" t="s">
        <v>182</v>
      </c>
      <c r="D3" s="1">
        <v>1</v>
      </c>
      <c r="E3" s="32">
        <v>70000</v>
      </c>
      <c r="F3" s="32">
        <f t="shared" ref="F3:F47" si="0">D3*E3</f>
        <v>70000</v>
      </c>
      <c r="G3" s="30"/>
      <c r="H3" s="32"/>
      <c r="I3" s="32">
        <f>I2+F3-H3</f>
        <v>140000</v>
      </c>
      <c r="J3" s="30" t="s">
        <v>89</v>
      </c>
      <c r="K3" s="31" t="s">
        <v>89</v>
      </c>
      <c r="L3" s="39"/>
    </row>
    <row r="4" spans="1:12">
      <c r="A4" s="4">
        <v>44762</v>
      </c>
      <c r="B4" s="2"/>
      <c r="C4" s="1"/>
      <c r="D4" s="1"/>
      <c r="E4" s="32"/>
      <c r="F4" s="32">
        <f t="shared" si="0"/>
        <v>0</v>
      </c>
      <c r="G4" s="30" t="s">
        <v>90</v>
      </c>
      <c r="H4" s="32">
        <v>139890</v>
      </c>
      <c r="I4" s="32">
        <f t="shared" ref="I4:I47" si="1">I3+F4-H4</f>
        <v>110</v>
      </c>
      <c r="J4" s="30" t="s">
        <v>89</v>
      </c>
      <c r="K4" s="31" t="s">
        <v>89</v>
      </c>
      <c r="L4" s="39"/>
    </row>
    <row r="5" spans="1:12">
      <c r="A5" s="4">
        <v>44762</v>
      </c>
      <c r="B5" s="2"/>
      <c r="C5" s="1"/>
      <c r="D5" s="1"/>
      <c r="E5" s="32"/>
      <c r="F5" s="32">
        <f t="shared" si="0"/>
        <v>0</v>
      </c>
      <c r="G5" s="30" t="s">
        <v>91</v>
      </c>
      <c r="H5" s="32">
        <v>110</v>
      </c>
      <c r="I5" s="32">
        <f t="shared" si="1"/>
        <v>0</v>
      </c>
      <c r="J5" s="30" t="s">
        <v>89</v>
      </c>
      <c r="K5" s="31" t="s">
        <v>89</v>
      </c>
      <c r="L5" s="39"/>
    </row>
    <row r="6" spans="1:12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  <c r="L6" s="39"/>
    </row>
    <row r="7" spans="1:12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  <c r="L7" s="39"/>
    </row>
    <row r="8" spans="1:12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  <c r="L8" s="39"/>
    </row>
    <row r="9" spans="1:12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  <c r="L9" s="39"/>
    </row>
    <row r="10" spans="1:12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  <c r="L10" s="39"/>
    </row>
    <row r="11" spans="1:12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  <c r="L11" s="39"/>
    </row>
    <row r="12" spans="1:12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  <c r="L12" s="39"/>
    </row>
    <row r="13" spans="1:12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  <c r="L13" s="39"/>
    </row>
    <row r="14" spans="1:12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  <c r="L14" s="39"/>
    </row>
    <row r="15" spans="1:12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  <c r="L15" s="39"/>
    </row>
    <row r="16" spans="1:12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  <c r="L16" s="39"/>
    </row>
    <row r="17" spans="1:12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  <c r="L17" s="39"/>
    </row>
    <row r="18" spans="1:12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  <c r="L18" s="39"/>
    </row>
    <row r="19" spans="1:12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  <c r="L19" s="39"/>
    </row>
    <row r="20" spans="1:12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  <c r="L20" s="39"/>
    </row>
    <row r="21" spans="1:12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  <c r="L21" s="39"/>
    </row>
    <row r="22" spans="1:12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  <c r="L22" s="39"/>
    </row>
    <row r="23" spans="1:12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  <c r="L23" s="39"/>
    </row>
    <row r="24" spans="1:12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  <c r="L24" s="39"/>
    </row>
    <row r="25" spans="1:12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  <c r="L25" s="39"/>
    </row>
    <row r="26" spans="1:12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  <c r="L26" s="39"/>
    </row>
    <row r="27" spans="1:12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  <c r="L27" s="39"/>
    </row>
    <row r="28" spans="1:12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  <c r="L28" s="39"/>
    </row>
    <row r="29" spans="1:12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  <c r="L29" s="39"/>
    </row>
    <row r="30" spans="1:12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  <c r="L30" s="39"/>
    </row>
    <row r="31" spans="1:12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  <c r="L31" s="39"/>
    </row>
    <row r="32" spans="1:12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  <c r="L32" s="39"/>
    </row>
    <row r="33" spans="1:12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  <c r="L33" s="39"/>
    </row>
    <row r="34" spans="1:12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  <c r="L34" s="39"/>
    </row>
    <row r="35" spans="1:12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  <c r="L35" s="39"/>
    </row>
    <row r="36" spans="1:12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  <c r="L36" s="39"/>
    </row>
    <row r="37" spans="1:12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  <c r="L37" s="39"/>
    </row>
    <row r="38" spans="1:12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  <c r="L38" s="39"/>
    </row>
    <row r="39" spans="1:12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  <c r="L39" s="39"/>
    </row>
    <row r="40" spans="1:12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  <c r="L40" s="39"/>
    </row>
    <row r="41" spans="1:12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  <c r="L41" s="39"/>
    </row>
    <row r="42" spans="1:12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  <c r="L42" s="39"/>
    </row>
    <row r="43" spans="1:12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  <c r="L43" s="39"/>
    </row>
    <row r="44" spans="1:12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  <c r="L44" s="39"/>
    </row>
    <row r="45" spans="1:12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  <c r="L45" s="39"/>
    </row>
    <row r="46" spans="1:12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  <c r="L46" s="39"/>
    </row>
    <row r="47" spans="1:12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  <c r="L47" s="39"/>
    </row>
    <row r="48" spans="1:12">
      <c r="A48" s="4"/>
      <c r="B48" s="2"/>
      <c r="C48" s="1"/>
      <c r="D48" s="1"/>
      <c r="E48" s="30">
        <v>70000</v>
      </c>
      <c r="F48" s="30">
        <f>D48*E48</f>
        <v>0</v>
      </c>
      <c r="G48" s="30"/>
      <c r="H48" s="30"/>
      <c r="I48" s="30">
        <f>F48-H48</f>
        <v>0</v>
      </c>
      <c r="J48" s="30"/>
      <c r="K48" s="31"/>
      <c r="L48" s="39"/>
    </row>
    <row r="49" spans="1:11">
      <c r="A49" s="16" t="s">
        <v>86</v>
      </c>
      <c r="B49" s="9"/>
      <c r="C49" s="9"/>
      <c r="D49" s="9"/>
      <c r="E49" s="9"/>
      <c r="F49" s="9">
        <f>SUBTOTAL(109,テーブル1312131415161718192021222324272829303132333435363738394041424344[仕入金額])</f>
        <v>140000</v>
      </c>
      <c r="G49" s="9"/>
      <c r="H49" s="9">
        <f>SUBTOTAL(109,テーブル1312131415161718192021222324272829303132333435363738394041424344[支払金額])</f>
        <v>140000</v>
      </c>
      <c r="I49" s="9">
        <f>テーブル1312131415161718192021222324272829303132333435363738394041424344[[#Totals],[仕入金額]]-テーブル1312131415161718192021222324272829303132333435363738394041424344[[#Totals],[支払金額]]</f>
        <v>0</v>
      </c>
      <c r="J49" s="9"/>
      <c r="K49" s="17"/>
    </row>
  </sheetData>
  <phoneticPr fontId="1"/>
  <dataValidations count="4">
    <dataValidation type="list" allowBlank="1" showInputMessage="1" showErrorMessage="1" sqref="G50:G62" xr:uid="{A965B6C7-153B-4D59-A228-A402F2B1700E}">
      <formula1>",合銀1,合銀,島銀,振込手数,    "</formula1>
    </dataValidation>
    <dataValidation type="list" allowBlank="1" showInputMessage="1" showErrorMessage="1" sqref="J2:K48" xr:uid="{AD42B4E6-7BBB-4C6F-89A0-F4749847BE36}">
      <formula1>"  ,済"</formula1>
    </dataValidation>
    <dataValidation type="list" allowBlank="1" showInputMessage="1" showErrorMessage="1" sqref="B2:B48" xr:uid="{5F933DDE-EA6E-475A-99F9-EBD7B9278F84}">
      <formula1>"田原,田中,高木,勝田,森山,市村,金築,その他"</formula1>
    </dataValidation>
    <dataValidation type="list" allowBlank="1" showInputMessage="1" showErrorMessage="1" sqref="G2:G48" xr:uid="{8309F32D-2698-4C45-9B32-9CEC24DCF0A5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&amp;Cエスペランサ</oddHeader>
  </headerFooter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F7009-AECE-4D71-9DBF-76A06F7B4B44}">
  <sheetPr codeName="Sheet47">
    <tabColor theme="9" tint="0.39997558519241921"/>
  </sheetPr>
  <dimension ref="A1:K48"/>
  <sheetViews>
    <sheetView workbookViewId="0">
      <pane ySplit="1" topLeftCell="A2" activePane="bottomLeft" state="frozen"/>
      <selection pane="bottomLeft" activeCell="K2" sqref="K2:K5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>
        <v>44701</v>
      </c>
      <c r="B2" s="2"/>
      <c r="C2" s="2" t="s">
        <v>183</v>
      </c>
      <c r="D2" s="2">
        <v>1</v>
      </c>
      <c r="E2" s="30">
        <v>4400</v>
      </c>
      <c r="F2" s="30">
        <f>D2*E2</f>
        <v>4400</v>
      </c>
      <c r="G2" s="30"/>
      <c r="H2" s="30"/>
      <c r="I2" s="30">
        <f>F2-H2</f>
        <v>4400</v>
      </c>
      <c r="J2" s="30" t="s">
        <v>89</v>
      </c>
      <c r="K2" s="31" t="s">
        <v>89</v>
      </c>
    </row>
    <row r="3" spans="1:11">
      <c r="A3" s="4">
        <v>44732</v>
      </c>
      <c r="B3" s="2"/>
      <c r="C3" s="1"/>
      <c r="D3" s="1"/>
      <c r="E3" s="32"/>
      <c r="F3" s="32">
        <f t="shared" ref="F3:F47" si="0">D3*E3</f>
        <v>0</v>
      </c>
      <c r="G3" s="30" t="s">
        <v>40</v>
      </c>
      <c r="H3" s="32">
        <v>4400</v>
      </c>
      <c r="I3" s="32">
        <f>I2+F3-H3</f>
        <v>0</v>
      </c>
      <c r="J3" s="30" t="s">
        <v>89</v>
      </c>
      <c r="K3" s="31" t="s">
        <v>89</v>
      </c>
    </row>
    <row r="4" spans="1:11">
      <c r="A4" s="4">
        <v>44732</v>
      </c>
      <c r="B4" s="2"/>
      <c r="C4" s="1" t="s">
        <v>183</v>
      </c>
      <c r="D4" s="1">
        <v>1</v>
      </c>
      <c r="E4" s="32">
        <v>2095</v>
      </c>
      <c r="F4" s="32">
        <f t="shared" si="0"/>
        <v>2095</v>
      </c>
      <c r="G4" s="30"/>
      <c r="H4" s="32"/>
      <c r="I4" s="32">
        <f t="shared" ref="I4:I47" si="1">I3+F4-H4</f>
        <v>2095</v>
      </c>
      <c r="J4" s="30" t="s">
        <v>89</v>
      </c>
      <c r="K4" s="31" t="s">
        <v>89</v>
      </c>
    </row>
    <row r="5" spans="1:11">
      <c r="A5" s="4">
        <v>44762</v>
      </c>
      <c r="B5" s="2"/>
      <c r="C5" s="1"/>
      <c r="D5" s="1"/>
      <c r="E5" s="32"/>
      <c r="F5" s="32">
        <f t="shared" si="0"/>
        <v>0</v>
      </c>
      <c r="G5" s="30" t="s">
        <v>40</v>
      </c>
      <c r="H5" s="32">
        <v>2095</v>
      </c>
      <c r="I5" s="32">
        <f t="shared" si="1"/>
        <v>0</v>
      </c>
      <c r="J5" s="30" t="s">
        <v>89</v>
      </c>
      <c r="K5" s="31" t="s">
        <v>89</v>
      </c>
    </row>
    <row r="6" spans="1:11">
      <c r="A6" s="4"/>
      <c r="B6" s="2"/>
      <c r="C6" s="1"/>
      <c r="D6" s="1"/>
      <c r="E6" s="32"/>
      <c r="F6" s="32">
        <f t="shared" si="0"/>
        <v>0</v>
      </c>
      <c r="G6" s="30"/>
      <c r="H6" s="32"/>
      <c r="I6" s="32">
        <f t="shared" si="1"/>
        <v>0</v>
      </c>
      <c r="J6" s="32"/>
      <c r="K6" s="31"/>
    </row>
    <row r="7" spans="1:11">
      <c r="A7" s="4"/>
      <c r="B7" s="2"/>
      <c r="C7" s="1"/>
      <c r="D7" s="1"/>
      <c r="E7" s="32"/>
      <c r="F7" s="32">
        <f t="shared" si="0"/>
        <v>0</v>
      </c>
      <c r="G7" s="30"/>
      <c r="H7" s="32"/>
      <c r="I7" s="32">
        <f t="shared" si="1"/>
        <v>0</v>
      </c>
      <c r="J7" s="32"/>
      <c r="K7" s="31"/>
    </row>
    <row r="8" spans="1:11">
      <c r="A8" s="4"/>
      <c r="B8" s="2"/>
      <c r="C8" s="1"/>
      <c r="D8" s="1"/>
      <c r="E8" s="32"/>
      <c r="F8" s="32">
        <f t="shared" si="0"/>
        <v>0</v>
      </c>
      <c r="G8" s="30"/>
      <c r="H8" s="32"/>
      <c r="I8" s="32">
        <f t="shared" si="1"/>
        <v>0</v>
      </c>
      <c r="J8" s="32"/>
      <c r="K8" s="31"/>
    </row>
    <row r="9" spans="1:11">
      <c r="A9" s="4"/>
      <c r="B9" s="2"/>
      <c r="C9" s="1"/>
      <c r="D9" s="1"/>
      <c r="E9" s="32"/>
      <c r="F9" s="32">
        <f t="shared" si="0"/>
        <v>0</v>
      </c>
      <c r="G9" s="30"/>
      <c r="H9" s="32"/>
      <c r="I9" s="32">
        <f t="shared" si="1"/>
        <v>0</v>
      </c>
      <c r="J9" s="32"/>
      <c r="K9" s="31"/>
    </row>
    <row r="10" spans="1:11">
      <c r="A10" s="4"/>
      <c r="B10" s="2"/>
      <c r="C10" s="1"/>
      <c r="D10" s="1"/>
      <c r="E10" s="32"/>
      <c r="F10" s="32">
        <f t="shared" si="0"/>
        <v>0</v>
      </c>
      <c r="G10" s="30"/>
      <c r="H10" s="32"/>
      <c r="I10" s="32">
        <f t="shared" si="1"/>
        <v>0</v>
      </c>
      <c r="J10" s="32"/>
      <c r="K10" s="31"/>
    </row>
    <row r="11" spans="1:11">
      <c r="A11" s="4"/>
      <c r="B11" s="2"/>
      <c r="C11" s="1"/>
      <c r="D11" s="1"/>
      <c r="E11" s="32"/>
      <c r="F11" s="32">
        <f t="shared" si="0"/>
        <v>0</v>
      </c>
      <c r="G11" s="30"/>
      <c r="H11" s="32"/>
      <c r="I11" s="32">
        <f t="shared" si="1"/>
        <v>0</v>
      </c>
      <c r="J11" s="32"/>
      <c r="K11" s="31"/>
    </row>
    <row r="12" spans="1:11">
      <c r="A12" s="4"/>
      <c r="B12" s="2"/>
      <c r="C12" s="1"/>
      <c r="D12" s="1"/>
      <c r="E12" s="32"/>
      <c r="F12" s="32">
        <f t="shared" si="0"/>
        <v>0</v>
      </c>
      <c r="G12" s="30"/>
      <c r="H12" s="32"/>
      <c r="I12" s="32">
        <f t="shared" si="1"/>
        <v>0</v>
      </c>
      <c r="J12" s="32"/>
      <c r="K12" s="31"/>
    </row>
    <row r="13" spans="1:11">
      <c r="A13" s="4"/>
      <c r="B13" s="2"/>
      <c r="C13" s="1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1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1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1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1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1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1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1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1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1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1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1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1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1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1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1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1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1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1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1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1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1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1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1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1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1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1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1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1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1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1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1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1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1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10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42"/>
      <c r="F48" s="42">
        <f>SUBTOTAL(109,テーブル131213141516171819202122232427282930313233343536373839404142434445[仕入金額])</f>
        <v>6495</v>
      </c>
      <c r="G48" s="42"/>
      <c r="H48" s="42">
        <f>SUBTOTAL(109,テーブル131213141516171819202122232427282930313233343536373839404142434445[支払金額])</f>
        <v>6495</v>
      </c>
      <c r="I48" s="42"/>
      <c r="J48" s="42"/>
      <c r="K48" s="43"/>
    </row>
  </sheetData>
  <phoneticPr fontId="1"/>
  <dataValidations count="4">
    <dataValidation type="list" allowBlank="1" showInputMessage="1" showErrorMessage="1" sqref="G2:G47" xr:uid="{4875F779-95FF-4F00-8425-454DC81F01EC}">
      <formula1>",合銀1,合銀,島銀,現金,振込手数,値引"</formula1>
    </dataValidation>
    <dataValidation type="list" allowBlank="1" showInputMessage="1" showErrorMessage="1" sqref="B2:B47" xr:uid="{D4D40A7A-8A67-43F9-B049-06583F088CC2}">
      <formula1>"田原,田中,高木,勝田,森山,市村,金築,その他"</formula1>
    </dataValidation>
    <dataValidation type="list" allowBlank="1" showInputMessage="1" showErrorMessage="1" sqref="J2:K47" xr:uid="{1A3CA8C5-2D7C-41FD-A5B7-B6EFB1B51EEC}">
      <formula1>"  ,済"</formula1>
    </dataValidation>
    <dataValidation type="list" allowBlank="1" showInputMessage="1" showErrorMessage="1" sqref="G49:G61" xr:uid="{8894D635-9392-4CC1-A2BA-F798ED0B441F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&amp;C北脇酒店</oddHeader>
  </headerFooter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4BC8F-32F5-4EFF-8EC6-1B60FEBB4873}">
  <sheetPr codeName="Sheet48">
    <tabColor theme="9" tint="0.39997558519241921"/>
  </sheetPr>
  <dimension ref="A1:K48"/>
  <sheetViews>
    <sheetView workbookViewId="0">
      <pane ySplit="1" topLeftCell="A2" activePane="bottomLeft" state="frozen"/>
      <selection pane="bottomLeft" activeCell="E2" sqref="E2:K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/>
      <c r="D2" s="2"/>
      <c r="E2" s="2"/>
      <c r="F2" s="2">
        <f>D2*E2</f>
        <v>0</v>
      </c>
      <c r="G2" s="2"/>
      <c r="H2" s="2"/>
      <c r="I2" s="2">
        <f>F2-H2</f>
        <v>0</v>
      </c>
      <c r="J2" s="2"/>
      <c r="K2" s="5"/>
    </row>
    <row r="3" spans="1:11">
      <c r="A3" s="4"/>
      <c r="B3" s="2"/>
      <c r="C3" s="1"/>
      <c r="D3" s="1"/>
      <c r="E3" s="1"/>
      <c r="F3" s="1">
        <f t="shared" ref="F3:F47" si="0">D3*E3</f>
        <v>0</v>
      </c>
      <c r="G3" s="2"/>
      <c r="H3" s="1"/>
      <c r="I3" s="1">
        <f>I2+F3-H3</f>
        <v>0</v>
      </c>
      <c r="J3" s="1"/>
      <c r="K3" s="5"/>
    </row>
    <row r="4" spans="1:11">
      <c r="A4" s="4"/>
      <c r="B4" s="2"/>
      <c r="C4" s="1"/>
      <c r="D4" s="1"/>
      <c r="E4" s="1"/>
      <c r="F4" s="1">
        <f t="shared" si="0"/>
        <v>0</v>
      </c>
      <c r="G4" s="2"/>
      <c r="H4" s="1"/>
      <c r="I4" s="1">
        <f t="shared" ref="I4:I47" si="1">I3+F4-H4</f>
        <v>0</v>
      </c>
      <c r="J4" s="1"/>
      <c r="K4" s="5"/>
    </row>
    <row r="5" spans="1:11">
      <c r="A5" s="4"/>
      <c r="B5" s="2"/>
      <c r="C5" s="1"/>
      <c r="D5" s="1"/>
      <c r="E5" s="1"/>
      <c r="F5" s="1">
        <f t="shared" si="0"/>
        <v>0</v>
      </c>
      <c r="G5" s="2"/>
      <c r="H5" s="1"/>
      <c r="I5" s="1">
        <f t="shared" si="1"/>
        <v>0</v>
      </c>
      <c r="J5" s="1"/>
      <c r="K5" s="5"/>
    </row>
    <row r="6" spans="1:11">
      <c r="A6" s="4"/>
      <c r="B6" s="2"/>
      <c r="C6" s="1"/>
      <c r="D6" s="1"/>
      <c r="E6" s="1"/>
      <c r="F6" s="1">
        <f t="shared" si="0"/>
        <v>0</v>
      </c>
      <c r="G6" s="2"/>
      <c r="H6" s="1"/>
      <c r="I6" s="1">
        <f t="shared" si="1"/>
        <v>0</v>
      </c>
      <c r="J6" s="1"/>
      <c r="K6" s="5"/>
    </row>
    <row r="7" spans="1:11">
      <c r="A7" s="4"/>
      <c r="B7" s="2"/>
      <c r="C7" s="1"/>
      <c r="D7" s="1"/>
      <c r="E7" s="1"/>
      <c r="F7" s="1">
        <f t="shared" si="0"/>
        <v>0</v>
      </c>
      <c r="G7" s="2"/>
      <c r="H7" s="1"/>
      <c r="I7" s="1">
        <f t="shared" si="1"/>
        <v>0</v>
      </c>
      <c r="J7" s="1"/>
      <c r="K7" s="5"/>
    </row>
    <row r="8" spans="1:11">
      <c r="A8" s="4"/>
      <c r="B8" s="2"/>
      <c r="C8" s="1"/>
      <c r="D8" s="1"/>
      <c r="E8" s="1"/>
      <c r="F8" s="1">
        <f t="shared" si="0"/>
        <v>0</v>
      </c>
      <c r="G8" s="2"/>
      <c r="H8" s="1"/>
      <c r="I8" s="1">
        <f t="shared" si="1"/>
        <v>0</v>
      </c>
      <c r="J8" s="1"/>
      <c r="K8" s="5"/>
    </row>
    <row r="9" spans="1:11">
      <c r="A9" s="4"/>
      <c r="B9" s="2"/>
      <c r="C9" s="1"/>
      <c r="D9" s="1"/>
      <c r="E9" s="1"/>
      <c r="F9" s="1">
        <f t="shared" si="0"/>
        <v>0</v>
      </c>
      <c r="G9" s="2"/>
      <c r="H9" s="1"/>
      <c r="I9" s="1">
        <f t="shared" si="1"/>
        <v>0</v>
      </c>
      <c r="J9" s="1"/>
      <c r="K9" s="5"/>
    </row>
    <row r="10" spans="1:11">
      <c r="A10" s="4"/>
      <c r="B10" s="2"/>
      <c r="C10" s="1"/>
      <c r="D10" s="1"/>
      <c r="E10" s="1"/>
      <c r="F10" s="1">
        <f t="shared" si="0"/>
        <v>0</v>
      </c>
      <c r="G10" s="2"/>
      <c r="H10" s="1"/>
      <c r="I10" s="1">
        <f t="shared" si="1"/>
        <v>0</v>
      </c>
      <c r="J10" s="1"/>
      <c r="K10" s="5"/>
    </row>
    <row r="11" spans="1:11">
      <c r="A11" s="4"/>
      <c r="B11" s="2"/>
      <c r="C11" s="1"/>
      <c r="D11" s="1"/>
      <c r="E11" s="1"/>
      <c r="F11" s="1">
        <f t="shared" si="0"/>
        <v>0</v>
      </c>
      <c r="G11" s="2"/>
      <c r="H11" s="1"/>
      <c r="I11" s="1">
        <f t="shared" si="1"/>
        <v>0</v>
      </c>
      <c r="J11" s="1"/>
      <c r="K11" s="5"/>
    </row>
    <row r="12" spans="1:11">
      <c r="A12" s="4"/>
      <c r="B12" s="2"/>
      <c r="C12" s="1"/>
      <c r="D12" s="1"/>
      <c r="E12" s="1"/>
      <c r="F12" s="1">
        <f t="shared" si="0"/>
        <v>0</v>
      </c>
      <c r="G12" s="2"/>
      <c r="H12" s="1"/>
      <c r="I12" s="1">
        <f t="shared" si="1"/>
        <v>0</v>
      </c>
      <c r="J12" s="1"/>
      <c r="K12" s="5"/>
    </row>
    <row r="13" spans="1:11">
      <c r="A13" s="4"/>
      <c r="B13" s="2"/>
      <c r="C13" s="1"/>
      <c r="D13" s="1"/>
      <c r="E13" s="1"/>
      <c r="F13" s="1">
        <f t="shared" si="0"/>
        <v>0</v>
      </c>
      <c r="G13" s="2"/>
      <c r="H13" s="1"/>
      <c r="I13" s="1">
        <f t="shared" si="1"/>
        <v>0</v>
      </c>
      <c r="J13" s="1"/>
      <c r="K13" s="5"/>
    </row>
    <row r="14" spans="1:11">
      <c r="A14" s="4"/>
      <c r="B14" s="2"/>
      <c r="C14" s="1"/>
      <c r="D14" s="1"/>
      <c r="E14" s="1"/>
      <c r="F14" s="1">
        <f t="shared" si="0"/>
        <v>0</v>
      </c>
      <c r="G14" s="2"/>
      <c r="H14" s="1"/>
      <c r="I14" s="1">
        <f t="shared" si="1"/>
        <v>0</v>
      </c>
      <c r="J14" s="1"/>
      <c r="K14" s="5"/>
    </row>
    <row r="15" spans="1:11">
      <c r="A15" s="4"/>
      <c r="B15" s="2"/>
      <c r="C15" s="1"/>
      <c r="D15" s="1"/>
      <c r="E15" s="1"/>
      <c r="F15" s="1">
        <f t="shared" si="0"/>
        <v>0</v>
      </c>
      <c r="G15" s="2"/>
      <c r="H15" s="1"/>
      <c r="I15" s="1">
        <f t="shared" si="1"/>
        <v>0</v>
      </c>
      <c r="J15" s="1"/>
      <c r="K15" s="5"/>
    </row>
    <row r="16" spans="1:11">
      <c r="A16" s="4"/>
      <c r="B16" s="2"/>
      <c r="C16" s="1"/>
      <c r="D16" s="1"/>
      <c r="E16" s="1"/>
      <c r="F16" s="1">
        <f t="shared" si="0"/>
        <v>0</v>
      </c>
      <c r="G16" s="2"/>
      <c r="H16" s="1"/>
      <c r="I16" s="1">
        <f t="shared" si="1"/>
        <v>0</v>
      </c>
      <c r="J16" s="1"/>
      <c r="K16" s="5"/>
    </row>
    <row r="17" spans="1:11">
      <c r="A17" s="4"/>
      <c r="B17" s="2"/>
      <c r="C17" s="1"/>
      <c r="D17" s="1"/>
      <c r="E17" s="1"/>
      <c r="F17" s="1">
        <f t="shared" si="0"/>
        <v>0</v>
      </c>
      <c r="G17" s="2"/>
      <c r="H17" s="1"/>
      <c r="I17" s="1">
        <f t="shared" si="1"/>
        <v>0</v>
      </c>
      <c r="J17" s="1"/>
      <c r="K17" s="5"/>
    </row>
    <row r="18" spans="1:11">
      <c r="A18" s="4"/>
      <c r="B18" s="2"/>
      <c r="C18" s="1"/>
      <c r="D18" s="1"/>
      <c r="E18" s="1"/>
      <c r="F18" s="1">
        <f t="shared" si="0"/>
        <v>0</v>
      </c>
      <c r="G18" s="2"/>
      <c r="H18" s="1"/>
      <c r="I18" s="1">
        <f t="shared" si="1"/>
        <v>0</v>
      </c>
      <c r="J18" s="1"/>
      <c r="K18" s="5"/>
    </row>
    <row r="19" spans="1:11">
      <c r="A19" s="4"/>
      <c r="B19" s="2"/>
      <c r="C19" s="1"/>
      <c r="D19" s="1"/>
      <c r="E19" s="1"/>
      <c r="F19" s="1">
        <f t="shared" si="0"/>
        <v>0</v>
      </c>
      <c r="G19" s="2"/>
      <c r="H19" s="1"/>
      <c r="I19" s="1">
        <f t="shared" si="1"/>
        <v>0</v>
      </c>
      <c r="J19" s="1"/>
      <c r="K19" s="5"/>
    </row>
    <row r="20" spans="1:11">
      <c r="A20" s="4"/>
      <c r="B20" s="2"/>
      <c r="C20" s="1"/>
      <c r="D20" s="1"/>
      <c r="E20" s="1"/>
      <c r="F20" s="1">
        <f t="shared" si="0"/>
        <v>0</v>
      </c>
      <c r="G20" s="2"/>
      <c r="H20" s="1"/>
      <c r="I20" s="1">
        <f t="shared" si="1"/>
        <v>0</v>
      </c>
      <c r="J20" s="1"/>
      <c r="K20" s="5"/>
    </row>
    <row r="21" spans="1:11">
      <c r="A21" s="4"/>
      <c r="B21" s="2"/>
      <c r="C21" s="1"/>
      <c r="D21" s="1"/>
      <c r="E21" s="1"/>
      <c r="F21" s="1">
        <f t="shared" si="0"/>
        <v>0</v>
      </c>
      <c r="G21" s="2"/>
      <c r="H21" s="1"/>
      <c r="I21" s="1">
        <f t="shared" si="1"/>
        <v>0</v>
      </c>
      <c r="J21" s="1"/>
      <c r="K21" s="5"/>
    </row>
    <row r="22" spans="1:11">
      <c r="A22" s="4"/>
      <c r="B22" s="2"/>
      <c r="C22" s="1"/>
      <c r="D22" s="1"/>
      <c r="E22" s="1"/>
      <c r="F22" s="1">
        <f t="shared" si="0"/>
        <v>0</v>
      </c>
      <c r="G22" s="2"/>
      <c r="H22" s="1"/>
      <c r="I22" s="1">
        <f t="shared" si="1"/>
        <v>0</v>
      </c>
      <c r="J22" s="1"/>
      <c r="K22" s="5"/>
    </row>
    <row r="23" spans="1:11">
      <c r="A23" s="4"/>
      <c r="B23" s="2"/>
      <c r="C23" s="1"/>
      <c r="D23" s="1"/>
      <c r="E23" s="1"/>
      <c r="F23" s="1">
        <f t="shared" si="0"/>
        <v>0</v>
      </c>
      <c r="G23" s="2"/>
      <c r="H23" s="1"/>
      <c r="I23" s="1">
        <f t="shared" si="1"/>
        <v>0</v>
      </c>
      <c r="J23" s="1"/>
      <c r="K23" s="5"/>
    </row>
    <row r="24" spans="1:11">
      <c r="A24" s="4"/>
      <c r="B24" s="2"/>
      <c r="C24" s="1"/>
      <c r="D24" s="1"/>
      <c r="E24" s="1"/>
      <c r="F24" s="1">
        <f t="shared" si="0"/>
        <v>0</v>
      </c>
      <c r="G24" s="2"/>
      <c r="H24" s="1"/>
      <c r="I24" s="1">
        <f t="shared" si="1"/>
        <v>0</v>
      </c>
      <c r="J24" s="1"/>
      <c r="K24" s="5"/>
    </row>
    <row r="25" spans="1:11">
      <c r="A25" s="4"/>
      <c r="B25" s="2"/>
      <c r="C25" s="1"/>
      <c r="D25" s="1"/>
      <c r="E25" s="1"/>
      <c r="F25" s="1">
        <f t="shared" si="0"/>
        <v>0</v>
      </c>
      <c r="G25" s="2"/>
      <c r="H25" s="1"/>
      <c r="I25" s="1">
        <f t="shared" si="1"/>
        <v>0</v>
      </c>
      <c r="J25" s="1"/>
      <c r="K25" s="5"/>
    </row>
    <row r="26" spans="1:11">
      <c r="A26" s="4"/>
      <c r="B26" s="2"/>
      <c r="C26" s="1"/>
      <c r="D26" s="1"/>
      <c r="E26" s="1"/>
      <c r="F26" s="1">
        <f t="shared" si="0"/>
        <v>0</v>
      </c>
      <c r="G26" s="2"/>
      <c r="H26" s="1"/>
      <c r="I26" s="1">
        <f t="shared" si="1"/>
        <v>0</v>
      </c>
      <c r="J26" s="1"/>
      <c r="K26" s="5"/>
    </row>
    <row r="27" spans="1:11">
      <c r="A27" s="4"/>
      <c r="B27" s="2"/>
      <c r="C27" s="1"/>
      <c r="D27" s="1"/>
      <c r="E27" s="1"/>
      <c r="F27" s="1">
        <f t="shared" si="0"/>
        <v>0</v>
      </c>
      <c r="G27" s="2"/>
      <c r="H27" s="1"/>
      <c r="I27" s="1">
        <f t="shared" si="1"/>
        <v>0</v>
      </c>
      <c r="J27" s="1"/>
      <c r="K27" s="5"/>
    </row>
    <row r="28" spans="1:11">
      <c r="A28" s="4"/>
      <c r="B28" s="2"/>
      <c r="C28" s="1"/>
      <c r="D28" s="1"/>
      <c r="E28" s="1"/>
      <c r="F28" s="1">
        <f t="shared" si="0"/>
        <v>0</v>
      </c>
      <c r="G28" s="2"/>
      <c r="H28" s="1"/>
      <c r="I28" s="1">
        <f t="shared" si="1"/>
        <v>0</v>
      </c>
      <c r="J28" s="1"/>
      <c r="K28" s="5"/>
    </row>
    <row r="29" spans="1:11">
      <c r="A29" s="4"/>
      <c r="B29" s="2"/>
      <c r="C29" s="1"/>
      <c r="D29" s="1"/>
      <c r="E29" s="1"/>
      <c r="F29" s="1">
        <f t="shared" si="0"/>
        <v>0</v>
      </c>
      <c r="G29" s="2"/>
      <c r="H29" s="1"/>
      <c r="I29" s="1">
        <f t="shared" si="1"/>
        <v>0</v>
      </c>
      <c r="J29" s="1"/>
      <c r="K29" s="5"/>
    </row>
    <row r="30" spans="1:11">
      <c r="A30" s="4"/>
      <c r="B30" s="2"/>
      <c r="C30" s="1"/>
      <c r="D30" s="1"/>
      <c r="E30" s="1"/>
      <c r="F30" s="1">
        <f t="shared" si="0"/>
        <v>0</v>
      </c>
      <c r="G30" s="2"/>
      <c r="H30" s="1"/>
      <c r="I30" s="1">
        <f t="shared" si="1"/>
        <v>0</v>
      </c>
      <c r="J30" s="1"/>
      <c r="K30" s="5"/>
    </row>
    <row r="31" spans="1:11">
      <c r="A31" s="4"/>
      <c r="B31" s="2"/>
      <c r="C31" s="1"/>
      <c r="D31" s="1"/>
      <c r="E31" s="1"/>
      <c r="F31" s="1">
        <f t="shared" si="0"/>
        <v>0</v>
      </c>
      <c r="G31" s="2"/>
      <c r="H31" s="1"/>
      <c r="I31" s="1">
        <f t="shared" si="1"/>
        <v>0</v>
      </c>
      <c r="J31" s="1"/>
      <c r="K31" s="5"/>
    </row>
    <row r="32" spans="1:11">
      <c r="A32" s="4"/>
      <c r="B32" s="2"/>
      <c r="C32" s="1"/>
      <c r="D32" s="1"/>
      <c r="E32" s="1"/>
      <c r="F32" s="1">
        <f t="shared" si="0"/>
        <v>0</v>
      </c>
      <c r="G32" s="2"/>
      <c r="H32" s="1"/>
      <c r="I32" s="1">
        <f t="shared" si="1"/>
        <v>0</v>
      </c>
      <c r="J32" s="1"/>
      <c r="K32" s="5"/>
    </row>
    <row r="33" spans="1:11">
      <c r="A33" s="4"/>
      <c r="B33" s="2"/>
      <c r="C33" s="1"/>
      <c r="D33" s="1"/>
      <c r="E33" s="1"/>
      <c r="F33" s="1">
        <f t="shared" si="0"/>
        <v>0</v>
      </c>
      <c r="G33" s="2"/>
      <c r="H33" s="1"/>
      <c r="I33" s="1">
        <f t="shared" si="1"/>
        <v>0</v>
      </c>
      <c r="J33" s="1"/>
      <c r="K33" s="5"/>
    </row>
    <row r="34" spans="1:11">
      <c r="A34" s="4"/>
      <c r="B34" s="2"/>
      <c r="C34" s="1"/>
      <c r="D34" s="1"/>
      <c r="E34" s="1"/>
      <c r="F34" s="1">
        <f t="shared" si="0"/>
        <v>0</v>
      </c>
      <c r="G34" s="2"/>
      <c r="H34" s="1"/>
      <c r="I34" s="1">
        <f t="shared" si="1"/>
        <v>0</v>
      </c>
      <c r="J34" s="1"/>
      <c r="K34" s="5"/>
    </row>
    <row r="35" spans="1:11">
      <c r="A35" s="4"/>
      <c r="B35" s="2"/>
      <c r="C35" s="1"/>
      <c r="D35" s="1"/>
      <c r="E35" s="1"/>
      <c r="F35" s="1">
        <f t="shared" si="0"/>
        <v>0</v>
      </c>
      <c r="G35" s="2"/>
      <c r="H35" s="1"/>
      <c r="I35" s="1">
        <f t="shared" si="1"/>
        <v>0</v>
      </c>
      <c r="J35" s="1"/>
      <c r="K35" s="5"/>
    </row>
    <row r="36" spans="1:11">
      <c r="A36" s="4"/>
      <c r="B36" s="2"/>
      <c r="C36" s="1"/>
      <c r="D36" s="1"/>
      <c r="E36" s="1"/>
      <c r="F36" s="1">
        <f t="shared" si="0"/>
        <v>0</v>
      </c>
      <c r="G36" s="2"/>
      <c r="H36" s="1"/>
      <c r="I36" s="1">
        <f t="shared" si="1"/>
        <v>0</v>
      </c>
      <c r="J36" s="1"/>
      <c r="K36" s="5"/>
    </row>
    <row r="37" spans="1:11">
      <c r="A37" s="4"/>
      <c r="B37" s="2"/>
      <c r="C37" s="1"/>
      <c r="D37" s="1"/>
      <c r="E37" s="1"/>
      <c r="F37" s="1">
        <f t="shared" si="0"/>
        <v>0</v>
      </c>
      <c r="G37" s="2"/>
      <c r="H37" s="1"/>
      <c r="I37" s="1">
        <f t="shared" si="1"/>
        <v>0</v>
      </c>
      <c r="J37" s="1"/>
      <c r="K37" s="5"/>
    </row>
    <row r="38" spans="1:11">
      <c r="A38" s="4"/>
      <c r="B38" s="2"/>
      <c r="C38" s="1"/>
      <c r="D38" s="1"/>
      <c r="E38" s="1"/>
      <c r="F38" s="1">
        <f t="shared" si="0"/>
        <v>0</v>
      </c>
      <c r="G38" s="2"/>
      <c r="H38" s="1"/>
      <c r="I38" s="1">
        <f t="shared" si="1"/>
        <v>0</v>
      </c>
      <c r="J38" s="1"/>
      <c r="K38" s="5"/>
    </row>
    <row r="39" spans="1:11">
      <c r="A39" s="4"/>
      <c r="B39" s="2"/>
      <c r="C39" s="1"/>
      <c r="D39" s="1"/>
      <c r="E39" s="1"/>
      <c r="F39" s="1">
        <f t="shared" si="0"/>
        <v>0</v>
      </c>
      <c r="G39" s="2"/>
      <c r="H39" s="1"/>
      <c r="I39" s="1">
        <f t="shared" si="1"/>
        <v>0</v>
      </c>
      <c r="J39" s="1"/>
      <c r="K39" s="5"/>
    </row>
    <row r="40" spans="1:11">
      <c r="A40" s="4"/>
      <c r="B40" s="2"/>
      <c r="C40" s="1"/>
      <c r="D40" s="1"/>
      <c r="E40" s="1"/>
      <c r="F40" s="1">
        <f t="shared" si="0"/>
        <v>0</v>
      </c>
      <c r="G40" s="2"/>
      <c r="H40" s="1"/>
      <c r="I40" s="1">
        <f t="shared" si="1"/>
        <v>0</v>
      </c>
      <c r="J40" s="1"/>
      <c r="K40" s="5"/>
    </row>
    <row r="41" spans="1:11">
      <c r="A41" s="4"/>
      <c r="B41" s="2"/>
      <c r="C41" s="1"/>
      <c r="D41" s="1"/>
      <c r="E41" s="1"/>
      <c r="F41" s="1">
        <f t="shared" si="0"/>
        <v>0</v>
      </c>
      <c r="G41" s="2"/>
      <c r="H41" s="1"/>
      <c r="I41" s="1">
        <f t="shared" si="1"/>
        <v>0</v>
      </c>
      <c r="J41" s="1"/>
      <c r="K41" s="5"/>
    </row>
    <row r="42" spans="1:11">
      <c r="A42" s="4"/>
      <c r="B42" s="2"/>
      <c r="C42" s="1"/>
      <c r="D42" s="1"/>
      <c r="E42" s="1"/>
      <c r="F42" s="1">
        <f t="shared" si="0"/>
        <v>0</v>
      </c>
      <c r="G42" s="2"/>
      <c r="H42" s="1"/>
      <c r="I42" s="1">
        <f t="shared" si="1"/>
        <v>0</v>
      </c>
      <c r="J42" s="1"/>
      <c r="K42" s="5"/>
    </row>
    <row r="43" spans="1:11">
      <c r="A43" s="4"/>
      <c r="B43" s="2"/>
      <c r="C43" s="1"/>
      <c r="D43" s="1"/>
      <c r="E43" s="1"/>
      <c r="F43" s="1">
        <f>D43*E43</f>
        <v>0</v>
      </c>
      <c r="G43" s="2"/>
      <c r="H43" s="1"/>
      <c r="I43" s="1">
        <f>I42+F43-H43</f>
        <v>0</v>
      </c>
      <c r="J43" s="1"/>
      <c r="K43" s="5"/>
    </row>
    <row r="44" spans="1:11">
      <c r="A44" s="4"/>
      <c r="B44" s="2"/>
      <c r="C44" s="1"/>
      <c r="D44" s="1"/>
      <c r="E44" s="1"/>
      <c r="F44" s="1">
        <f>D44*E44</f>
        <v>0</v>
      </c>
      <c r="G44" s="2"/>
      <c r="H44" s="1"/>
      <c r="I44" s="1">
        <f>I43+F44-H44</f>
        <v>0</v>
      </c>
      <c r="J44" s="1"/>
      <c r="K44" s="5"/>
    </row>
    <row r="45" spans="1:11">
      <c r="A45" s="4"/>
      <c r="B45" s="2"/>
      <c r="C45" s="1"/>
      <c r="D45" s="1"/>
      <c r="E45" s="1"/>
      <c r="F45" s="1">
        <f>D45*E45</f>
        <v>0</v>
      </c>
      <c r="G45" s="2"/>
      <c r="H45" s="1"/>
      <c r="I45" s="1">
        <f>I44+F45-H45</f>
        <v>0</v>
      </c>
      <c r="J45" s="1"/>
      <c r="K45" s="5"/>
    </row>
    <row r="46" spans="1:11">
      <c r="A46" s="4"/>
      <c r="B46" s="2"/>
      <c r="C46" s="1"/>
      <c r="D46" s="1"/>
      <c r="E46" s="1"/>
      <c r="F46" s="1">
        <f t="shared" si="0"/>
        <v>0</v>
      </c>
      <c r="G46" s="2"/>
      <c r="H46" s="1"/>
      <c r="I46" s="1">
        <f>I45+F46-H46</f>
        <v>0</v>
      </c>
      <c r="J46" s="1"/>
      <c r="K46" s="5"/>
    </row>
    <row r="47" spans="1:11">
      <c r="A47" s="8"/>
      <c r="B47" s="9"/>
      <c r="C47" s="10"/>
      <c r="D47" s="10"/>
      <c r="E47" s="10"/>
      <c r="F47" s="10">
        <f t="shared" si="0"/>
        <v>0</v>
      </c>
      <c r="G47" s="2"/>
      <c r="H47" s="10"/>
      <c r="I47" s="10">
        <f t="shared" si="1"/>
        <v>0</v>
      </c>
      <c r="J47" s="10"/>
      <c r="K47" s="11"/>
    </row>
    <row r="48" spans="1:11">
      <c r="A48" s="16" t="s">
        <v>86</v>
      </c>
      <c r="B48" s="9"/>
      <c r="C48" s="9"/>
      <c r="D48" s="9"/>
      <c r="E48" s="9"/>
      <c r="F48" s="9">
        <f>SUBTOTAL(109,テーブル13121314151617181920212223242728293031323334353637383940414243444546[仕入金額])</f>
        <v>0</v>
      </c>
      <c r="G48" s="9"/>
      <c r="H48" s="9">
        <f>SUBTOTAL(109,テーブル13121314151617181920212223242728293031323334353637383940414243444546[支払金額])</f>
        <v>0</v>
      </c>
      <c r="I48" s="9">
        <f>テーブル13121314151617181920212223242728293031323334353637383940414243444546[[#Totals],[仕入金額]]-テーブル13121314151617181920212223242728293031323334353637383940414243444546[[#Totals],[支払金額]]</f>
        <v>0</v>
      </c>
      <c r="J48" s="9"/>
      <c r="K48" s="17"/>
    </row>
  </sheetData>
  <phoneticPr fontId="1"/>
  <dataValidations count="4">
    <dataValidation type="list" allowBlank="1" showInputMessage="1" showErrorMessage="1" sqref="G49:G61" xr:uid="{D8A2B76F-0400-4213-82EF-1C449E642FCA}">
      <formula1>",合銀1,合銀,島銀,振込手数,    "</formula1>
    </dataValidation>
    <dataValidation type="list" allowBlank="1" showInputMessage="1" showErrorMessage="1" sqref="J2:K47" xr:uid="{54CA8000-3B12-42FC-A405-4EE1B0F3A5DA}">
      <formula1>"  ,済"</formula1>
    </dataValidation>
    <dataValidation type="list" allowBlank="1" showInputMessage="1" showErrorMessage="1" sqref="B2:B47" xr:uid="{3BE280CF-6C06-4108-83EE-6AC478E5DEE1}">
      <formula1>"田原,田中,高木,勝田,森山,市村,金築,その他"</formula1>
    </dataValidation>
    <dataValidation type="list" allowBlank="1" showInputMessage="1" showErrorMessage="1" sqref="G2:G47" xr:uid="{362AAC3C-99BE-4AD9-AE03-98BD18915EF0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&amp;C山陰中央新報SC</oddHeader>
  </headerFooter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A33D3-BEB9-474D-8F36-BF024B69BB55}">
  <sheetPr codeName="Sheet49">
    <tabColor theme="9" tint="0.39997558519241921"/>
  </sheetPr>
  <dimension ref="A1:K48"/>
  <sheetViews>
    <sheetView workbookViewId="0">
      <pane ySplit="1" topLeftCell="A2" activePane="bottomLeft" state="frozen"/>
      <selection pane="bottomLeft" activeCell="E2" sqref="E2:K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/>
      <c r="D2" s="2"/>
      <c r="E2" s="2"/>
      <c r="F2" s="2">
        <f>D2*E2</f>
        <v>0</v>
      </c>
      <c r="G2" s="2"/>
      <c r="H2" s="2"/>
      <c r="I2" s="2">
        <f>F2-H2</f>
        <v>0</v>
      </c>
      <c r="J2" s="2"/>
      <c r="K2" s="5"/>
    </row>
    <row r="3" spans="1:11">
      <c r="A3" s="4"/>
      <c r="B3" s="2"/>
      <c r="C3" s="1"/>
      <c r="D3" s="1"/>
      <c r="E3" s="1"/>
      <c r="F3" s="1">
        <f t="shared" ref="F3:F47" si="0">D3*E3</f>
        <v>0</v>
      </c>
      <c r="G3" s="2"/>
      <c r="H3" s="1"/>
      <c r="I3" s="1">
        <f>I2+F3-H3</f>
        <v>0</v>
      </c>
      <c r="J3" s="1"/>
      <c r="K3" s="5"/>
    </row>
    <row r="4" spans="1:11">
      <c r="A4" s="4"/>
      <c r="B4" s="2"/>
      <c r="C4" s="1"/>
      <c r="D4" s="1"/>
      <c r="E4" s="1"/>
      <c r="F4" s="1">
        <f t="shared" si="0"/>
        <v>0</v>
      </c>
      <c r="G4" s="2"/>
      <c r="H4" s="1"/>
      <c r="I4" s="1">
        <f t="shared" ref="I4:I47" si="1">I3+F4-H4</f>
        <v>0</v>
      </c>
      <c r="J4" s="1"/>
      <c r="K4" s="5"/>
    </row>
    <row r="5" spans="1:11">
      <c r="A5" s="4"/>
      <c r="B5" s="2"/>
      <c r="C5" s="1"/>
      <c r="D5" s="1"/>
      <c r="E5" s="1"/>
      <c r="F5" s="1">
        <f t="shared" si="0"/>
        <v>0</v>
      </c>
      <c r="G5" s="2"/>
      <c r="H5" s="1"/>
      <c r="I5" s="1">
        <f t="shared" si="1"/>
        <v>0</v>
      </c>
      <c r="J5" s="1"/>
      <c r="K5" s="5"/>
    </row>
    <row r="6" spans="1:11">
      <c r="A6" s="4"/>
      <c r="B6" s="2"/>
      <c r="C6" s="1"/>
      <c r="D6" s="1"/>
      <c r="E6" s="1"/>
      <c r="F6" s="1">
        <f t="shared" si="0"/>
        <v>0</v>
      </c>
      <c r="G6" s="2"/>
      <c r="H6" s="1"/>
      <c r="I6" s="1">
        <f t="shared" si="1"/>
        <v>0</v>
      </c>
      <c r="J6" s="1"/>
      <c r="K6" s="5"/>
    </row>
    <row r="7" spans="1:11">
      <c r="A7" s="4"/>
      <c r="B7" s="2"/>
      <c r="C7" s="1"/>
      <c r="D7" s="1"/>
      <c r="E7" s="1"/>
      <c r="F7" s="1">
        <f t="shared" si="0"/>
        <v>0</v>
      </c>
      <c r="G7" s="2"/>
      <c r="H7" s="1"/>
      <c r="I7" s="1">
        <f t="shared" si="1"/>
        <v>0</v>
      </c>
      <c r="J7" s="1"/>
      <c r="K7" s="5"/>
    </row>
    <row r="8" spans="1:11">
      <c r="A8" s="4"/>
      <c r="B8" s="2"/>
      <c r="C8" s="1"/>
      <c r="D8" s="1"/>
      <c r="E8" s="1"/>
      <c r="F8" s="1">
        <f t="shared" si="0"/>
        <v>0</v>
      </c>
      <c r="G8" s="2"/>
      <c r="H8" s="1"/>
      <c r="I8" s="1">
        <f t="shared" si="1"/>
        <v>0</v>
      </c>
      <c r="J8" s="1"/>
      <c r="K8" s="5"/>
    </row>
    <row r="9" spans="1:11">
      <c r="A9" s="4"/>
      <c r="B9" s="2"/>
      <c r="C9" s="1"/>
      <c r="D9" s="1"/>
      <c r="E9" s="1"/>
      <c r="F9" s="1">
        <f t="shared" si="0"/>
        <v>0</v>
      </c>
      <c r="G9" s="2"/>
      <c r="H9" s="1"/>
      <c r="I9" s="1">
        <f t="shared" si="1"/>
        <v>0</v>
      </c>
      <c r="J9" s="1"/>
      <c r="K9" s="5"/>
    </row>
    <row r="10" spans="1:11">
      <c r="A10" s="4"/>
      <c r="B10" s="2"/>
      <c r="C10" s="1"/>
      <c r="D10" s="1"/>
      <c r="E10" s="1"/>
      <c r="F10" s="1">
        <f t="shared" si="0"/>
        <v>0</v>
      </c>
      <c r="G10" s="2"/>
      <c r="H10" s="1"/>
      <c r="I10" s="1">
        <f t="shared" si="1"/>
        <v>0</v>
      </c>
      <c r="J10" s="1"/>
      <c r="K10" s="5"/>
    </row>
    <row r="11" spans="1:11">
      <c r="A11" s="4"/>
      <c r="B11" s="2"/>
      <c r="C11" s="1"/>
      <c r="D11" s="1"/>
      <c r="E11" s="1"/>
      <c r="F11" s="1">
        <f t="shared" si="0"/>
        <v>0</v>
      </c>
      <c r="G11" s="2"/>
      <c r="H11" s="1"/>
      <c r="I11" s="1">
        <f t="shared" si="1"/>
        <v>0</v>
      </c>
      <c r="J11" s="1"/>
      <c r="K11" s="5"/>
    </row>
    <row r="12" spans="1:11">
      <c r="A12" s="4"/>
      <c r="B12" s="2"/>
      <c r="C12" s="1"/>
      <c r="D12" s="1"/>
      <c r="E12" s="1"/>
      <c r="F12" s="1">
        <f t="shared" si="0"/>
        <v>0</v>
      </c>
      <c r="G12" s="2"/>
      <c r="H12" s="1"/>
      <c r="I12" s="1">
        <f t="shared" si="1"/>
        <v>0</v>
      </c>
      <c r="J12" s="1"/>
      <c r="K12" s="5"/>
    </row>
    <row r="13" spans="1:11">
      <c r="A13" s="4"/>
      <c r="B13" s="2"/>
      <c r="C13" s="1"/>
      <c r="D13" s="1"/>
      <c r="E13" s="1"/>
      <c r="F13" s="1">
        <f t="shared" si="0"/>
        <v>0</v>
      </c>
      <c r="G13" s="2"/>
      <c r="H13" s="1"/>
      <c r="I13" s="1">
        <f t="shared" si="1"/>
        <v>0</v>
      </c>
      <c r="J13" s="1"/>
      <c r="K13" s="5"/>
    </row>
    <row r="14" spans="1:11">
      <c r="A14" s="4"/>
      <c r="B14" s="2"/>
      <c r="C14" s="1"/>
      <c r="D14" s="1"/>
      <c r="E14" s="1"/>
      <c r="F14" s="1">
        <f t="shared" si="0"/>
        <v>0</v>
      </c>
      <c r="G14" s="2"/>
      <c r="H14" s="1"/>
      <c r="I14" s="1">
        <f t="shared" si="1"/>
        <v>0</v>
      </c>
      <c r="J14" s="1"/>
      <c r="K14" s="5"/>
    </row>
    <row r="15" spans="1:11">
      <c r="A15" s="4"/>
      <c r="B15" s="2"/>
      <c r="C15" s="1"/>
      <c r="D15" s="1"/>
      <c r="E15" s="1"/>
      <c r="F15" s="1">
        <f t="shared" si="0"/>
        <v>0</v>
      </c>
      <c r="G15" s="2"/>
      <c r="H15" s="1"/>
      <c r="I15" s="1">
        <f t="shared" si="1"/>
        <v>0</v>
      </c>
      <c r="J15" s="1"/>
      <c r="K15" s="5"/>
    </row>
    <row r="16" spans="1:11">
      <c r="A16" s="4"/>
      <c r="B16" s="2"/>
      <c r="C16" s="1"/>
      <c r="D16" s="1"/>
      <c r="E16" s="1"/>
      <c r="F16" s="1">
        <f t="shared" si="0"/>
        <v>0</v>
      </c>
      <c r="G16" s="2"/>
      <c r="H16" s="1"/>
      <c r="I16" s="1">
        <f t="shared" si="1"/>
        <v>0</v>
      </c>
      <c r="J16" s="1"/>
      <c r="K16" s="5"/>
    </row>
    <row r="17" spans="1:11">
      <c r="A17" s="4"/>
      <c r="B17" s="2"/>
      <c r="C17" s="1"/>
      <c r="D17" s="1"/>
      <c r="E17" s="1"/>
      <c r="F17" s="1">
        <f t="shared" si="0"/>
        <v>0</v>
      </c>
      <c r="G17" s="2"/>
      <c r="H17" s="1"/>
      <c r="I17" s="1">
        <f t="shared" si="1"/>
        <v>0</v>
      </c>
      <c r="J17" s="1"/>
      <c r="K17" s="5"/>
    </row>
    <row r="18" spans="1:11">
      <c r="A18" s="4"/>
      <c r="B18" s="2"/>
      <c r="C18" s="1"/>
      <c r="D18" s="1"/>
      <c r="E18" s="1"/>
      <c r="F18" s="1">
        <f t="shared" si="0"/>
        <v>0</v>
      </c>
      <c r="G18" s="2"/>
      <c r="H18" s="1"/>
      <c r="I18" s="1">
        <f t="shared" si="1"/>
        <v>0</v>
      </c>
      <c r="J18" s="1"/>
      <c r="K18" s="5"/>
    </row>
    <row r="19" spans="1:11">
      <c r="A19" s="4"/>
      <c r="B19" s="2"/>
      <c r="C19" s="1"/>
      <c r="D19" s="1"/>
      <c r="E19" s="1"/>
      <c r="F19" s="1">
        <f t="shared" si="0"/>
        <v>0</v>
      </c>
      <c r="G19" s="2"/>
      <c r="H19" s="1"/>
      <c r="I19" s="1">
        <f t="shared" si="1"/>
        <v>0</v>
      </c>
      <c r="J19" s="1"/>
      <c r="K19" s="5"/>
    </row>
    <row r="20" spans="1:11">
      <c r="A20" s="4"/>
      <c r="B20" s="2"/>
      <c r="C20" s="1"/>
      <c r="D20" s="1"/>
      <c r="E20" s="1"/>
      <c r="F20" s="1">
        <f t="shared" si="0"/>
        <v>0</v>
      </c>
      <c r="G20" s="2"/>
      <c r="H20" s="1"/>
      <c r="I20" s="1">
        <f t="shared" si="1"/>
        <v>0</v>
      </c>
      <c r="J20" s="1"/>
      <c r="K20" s="5"/>
    </row>
    <row r="21" spans="1:11">
      <c r="A21" s="4"/>
      <c r="B21" s="2"/>
      <c r="C21" s="1"/>
      <c r="D21" s="1"/>
      <c r="E21" s="1"/>
      <c r="F21" s="1">
        <f t="shared" si="0"/>
        <v>0</v>
      </c>
      <c r="G21" s="2"/>
      <c r="H21" s="1"/>
      <c r="I21" s="1">
        <f t="shared" si="1"/>
        <v>0</v>
      </c>
      <c r="J21" s="1"/>
      <c r="K21" s="5"/>
    </row>
    <row r="22" spans="1:11">
      <c r="A22" s="4"/>
      <c r="B22" s="2"/>
      <c r="C22" s="1"/>
      <c r="D22" s="1"/>
      <c r="E22" s="1"/>
      <c r="F22" s="1">
        <f t="shared" si="0"/>
        <v>0</v>
      </c>
      <c r="G22" s="2"/>
      <c r="H22" s="1"/>
      <c r="I22" s="1">
        <f t="shared" si="1"/>
        <v>0</v>
      </c>
      <c r="J22" s="1"/>
      <c r="K22" s="5"/>
    </row>
    <row r="23" spans="1:11">
      <c r="A23" s="4"/>
      <c r="B23" s="2"/>
      <c r="C23" s="1"/>
      <c r="D23" s="1"/>
      <c r="E23" s="1"/>
      <c r="F23" s="1">
        <f t="shared" si="0"/>
        <v>0</v>
      </c>
      <c r="G23" s="2"/>
      <c r="H23" s="1"/>
      <c r="I23" s="1">
        <f t="shared" si="1"/>
        <v>0</v>
      </c>
      <c r="J23" s="1"/>
      <c r="K23" s="5"/>
    </row>
    <row r="24" spans="1:11">
      <c r="A24" s="4"/>
      <c r="B24" s="2"/>
      <c r="C24" s="1"/>
      <c r="D24" s="1"/>
      <c r="E24" s="1"/>
      <c r="F24" s="1">
        <f t="shared" si="0"/>
        <v>0</v>
      </c>
      <c r="G24" s="2"/>
      <c r="H24" s="1"/>
      <c r="I24" s="1">
        <f t="shared" si="1"/>
        <v>0</v>
      </c>
      <c r="J24" s="1"/>
      <c r="K24" s="5"/>
    </row>
    <row r="25" spans="1:11">
      <c r="A25" s="4"/>
      <c r="B25" s="2"/>
      <c r="C25" s="1"/>
      <c r="D25" s="1"/>
      <c r="E25" s="1"/>
      <c r="F25" s="1">
        <f t="shared" si="0"/>
        <v>0</v>
      </c>
      <c r="G25" s="2"/>
      <c r="H25" s="1"/>
      <c r="I25" s="1">
        <f t="shared" si="1"/>
        <v>0</v>
      </c>
      <c r="J25" s="1"/>
      <c r="K25" s="5"/>
    </row>
    <row r="26" spans="1:11">
      <c r="A26" s="4"/>
      <c r="B26" s="2"/>
      <c r="C26" s="1"/>
      <c r="D26" s="1"/>
      <c r="E26" s="1"/>
      <c r="F26" s="1">
        <f t="shared" si="0"/>
        <v>0</v>
      </c>
      <c r="G26" s="2"/>
      <c r="H26" s="1"/>
      <c r="I26" s="1">
        <f t="shared" si="1"/>
        <v>0</v>
      </c>
      <c r="J26" s="1"/>
      <c r="K26" s="5"/>
    </row>
    <row r="27" spans="1:11">
      <c r="A27" s="4"/>
      <c r="B27" s="2"/>
      <c r="C27" s="1"/>
      <c r="D27" s="1"/>
      <c r="E27" s="1"/>
      <c r="F27" s="1">
        <f t="shared" si="0"/>
        <v>0</v>
      </c>
      <c r="G27" s="2"/>
      <c r="H27" s="1"/>
      <c r="I27" s="1">
        <f t="shared" si="1"/>
        <v>0</v>
      </c>
      <c r="J27" s="1"/>
      <c r="K27" s="5"/>
    </row>
    <row r="28" spans="1:11">
      <c r="A28" s="4"/>
      <c r="B28" s="2"/>
      <c r="C28" s="1"/>
      <c r="D28" s="1"/>
      <c r="E28" s="1"/>
      <c r="F28" s="1">
        <f t="shared" si="0"/>
        <v>0</v>
      </c>
      <c r="G28" s="2"/>
      <c r="H28" s="1"/>
      <c r="I28" s="1">
        <f t="shared" si="1"/>
        <v>0</v>
      </c>
      <c r="J28" s="1"/>
      <c r="K28" s="5"/>
    </row>
    <row r="29" spans="1:11">
      <c r="A29" s="4"/>
      <c r="B29" s="2"/>
      <c r="C29" s="1"/>
      <c r="D29" s="1"/>
      <c r="E29" s="1"/>
      <c r="F29" s="1">
        <f t="shared" si="0"/>
        <v>0</v>
      </c>
      <c r="G29" s="2"/>
      <c r="H29" s="1"/>
      <c r="I29" s="1">
        <f t="shared" si="1"/>
        <v>0</v>
      </c>
      <c r="J29" s="1"/>
      <c r="K29" s="5"/>
    </row>
    <row r="30" spans="1:11">
      <c r="A30" s="4"/>
      <c r="B30" s="2"/>
      <c r="C30" s="1"/>
      <c r="D30" s="1"/>
      <c r="E30" s="1"/>
      <c r="F30" s="1">
        <f t="shared" si="0"/>
        <v>0</v>
      </c>
      <c r="G30" s="2"/>
      <c r="H30" s="1"/>
      <c r="I30" s="1">
        <f t="shared" si="1"/>
        <v>0</v>
      </c>
      <c r="J30" s="1"/>
      <c r="K30" s="5"/>
    </row>
    <row r="31" spans="1:11">
      <c r="A31" s="4"/>
      <c r="B31" s="2"/>
      <c r="C31" s="1"/>
      <c r="D31" s="1"/>
      <c r="E31" s="1"/>
      <c r="F31" s="1">
        <f t="shared" si="0"/>
        <v>0</v>
      </c>
      <c r="G31" s="2"/>
      <c r="H31" s="1"/>
      <c r="I31" s="1">
        <f t="shared" si="1"/>
        <v>0</v>
      </c>
      <c r="J31" s="1"/>
      <c r="K31" s="5"/>
    </row>
    <row r="32" spans="1:11">
      <c r="A32" s="4"/>
      <c r="B32" s="2"/>
      <c r="C32" s="1"/>
      <c r="D32" s="1"/>
      <c r="E32" s="1"/>
      <c r="F32" s="1">
        <f t="shared" si="0"/>
        <v>0</v>
      </c>
      <c r="G32" s="2"/>
      <c r="H32" s="1"/>
      <c r="I32" s="1">
        <f t="shared" si="1"/>
        <v>0</v>
      </c>
      <c r="J32" s="1"/>
      <c r="K32" s="5"/>
    </row>
    <row r="33" spans="1:11">
      <c r="A33" s="4"/>
      <c r="B33" s="2"/>
      <c r="C33" s="1"/>
      <c r="D33" s="1"/>
      <c r="E33" s="1"/>
      <c r="F33" s="1">
        <f t="shared" si="0"/>
        <v>0</v>
      </c>
      <c r="G33" s="2"/>
      <c r="H33" s="1"/>
      <c r="I33" s="1">
        <f t="shared" si="1"/>
        <v>0</v>
      </c>
      <c r="J33" s="1"/>
      <c r="K33" s="5"/>
    </row>
    <row r="34" spans="1:11">
      <c r="A34" s="4"/>
      <c r="B34" s="2"/>
      <c r="C34" s="1"/>
      <c r="D34" s="1"/>
      <c r="E34" s="1"/>
      <c r="F34" s="1">
        <f t="shared" si="0"/>
        <v>0</v>
      </c>
      <c r="G34" s="2"/>
      <c r="H34" s="1"/>
      <c r="I34" s="1">
        <f t="shared" si="1"/>
        <v>0</v>
      </c>
      <c r="J34" s="1"/>
      <c r="K34" s="5"/>
    </row>
    <row r="35" spans="1:11">
      <c r="A35" s="4"/>
      <c r="B35" s="2"/>
      <c r="C35" s="1"/>
      <c r="D35" s="1"/>
      <c r="E35" s="1"/>
      <c r="F35" s="1">
        <f t="shared" si="0"/>
        <v>0</v>
      </c>
      <c r="G35" s="2"/>
      <c r="H35" s="1"/>
      <c r="I35" s="1">
        <f t="shared" si="1"/>
        <v>0</v>
      </c>
      <c r="J35" s="1"/>
      <c r="K35" s="5"/>
    </row>
    <row r="36" spans="1:11">
      <c r="A36" s="4"/>
      <c r="B36" s="2"/>
      <c r="C36" s="1"/>
      <c r="D36" s="1"/>
      <c r="E36" s="1"/>
      <c r="F36" s="1">
        <f t="shared" si="0"/>
        <v>0</v>
      </c>
      <c r="G36" s="2"/>
      <c r="H36" s="1"/>
      <c r="I36" s="1">
        <f t="shared" si="1"/>
        <v>0</v>
      </c>
      <c r="J36" s="1"/>
      <c r="K36" s="5"/>
    </row>
    <row r="37" spans="1:11">
      <c r="A37" s="4"/>
      <c r="B37" s="2"/>
      <c r="C37" s="1"/>
      <c r="D37" s="1"/>
      <c r="E37" s="1"/>
      <c r="F37" s="1">
        <f t="shared" si="0"/>
        <v>0</v>
      </c>
      <c r="G37" s="2"/>
      <c r="H37" s="1"/>
      <c r="I37" s="1">
        <f t="shared" si="1"/>
        <v>0</v>
      </c>
      <c r="J37" s="1"/>
      <c r="K37" s="5"/>
    </row>
    <row r="38" spans="1:11">
      <c r="A38" s="4"/>
      <c r="B38" s="2"/>
      <c r="C38" s="1"/>
      <c r="D38" s="1"/>
      <c r="E38" s="1"/>
      <c r="F38" s="1">
        <f t="shared" si="0"/>
        <v>0</v>
      </c>
      <c r="G38" s="2"/>
      <c r="H38" s="1"/>
      <c r="I38" s="1">
        <f t="shared" si="1"/>
        <v>0</v>
      </c>
      <c r="J38" s="1"/>
      <c r="K38" s="5"/>
    </row>
    <row r="39" spans="1:11">
      <c r="A39" s="4"/>
      <c r="B39" s="2"/>
      <c r="C39" s="1"/>
      <c r="D39" s="1"/>
      <c r="E39" s="1"/>
      <c r="F39" s="1">
        <f t="shared" si="0"/>
        <v>0</v>
      </c>
      <c r="G39" s="2"/>
      <c r="H39" s="1"/>
      <c r="I39" s="1">
        <f t="shared" si="1"/>
        <v>0</v>
      </c>
      <c r="J39" s="1"/>
      <c r="K39" s="5"/>
    </row>
    <row r="40" spans="1:11">
      <c r="A40" s="4"/>
      <c r="B40" s="2"/>
      <c r="C40" s="1"/>
      <c r="D40" s="1"/>
      <c r="E40" s="1"/>
      <c r="F40" s="1">
        <f t="shared" si="0"/>
        <v>0</v>
      </c>
      <c r="G40" s="2"/>
      <c r="H40" s="1"/>
      <c r="I40" s="1">
        <f t="shared" si="1"/>
        <v>0</v>
      </c>
      <c r="J40" s="1"/>
      <c r="K40" s="5"/>
    </row>
    <row r="41" spans="1:11">
      <c r="A41" s="4"/>
      <c r="B41" s="2"/>
      <c r="C41" s="1"/>
      <c r="D41" s="1"/>
      <c r="E41" s="1"/>
      <c r="F41" s="1">
        <f t="shared" si="0"/>
        <v>0</v>
      </c>
      <c r="G41" s="2"/>
      <c r="H41" s="1"/>
      <c r="I41" s="1">
        <f t="shared" si="1"/>
        <v>0</v>
      </c>
      <c r="J41" s="1"/>
      <c r="K41" s="5"/>
    </row>
    <row r="42" spans="1:11">
      <c r="A42" s="4"/>
      <c r="B42" s="2"/>
      <c r="C42" s="1"/>
      <c r="D42" s="1"/>
      <c r="E42" s="1"/>
      <c r="F42" s="1">
        <f t="shared" si="0"/>
        <v>0</v>
      </c>
      <c r="G42" s="2"/>
      <c r="H42" s="1"/>
      <c r="I42" s="1">
        <f t="shared" si="1"/>
        <v>0</v>
      </c>
      <c r="J42" s="1"/>
      <c r="K42" s="5"/>
    </row>
    <row r="43" spans="1:11">
      <c r="A43" s="4"/>
      <c r="B43" s="2"/>
      <c r="C43" s="1"/>
      <c r="D43" s="1"/>
      <c r="E43" s="1"/>
      <c r="F43" s="1">
        <f>D43*E43</f>
        <v>0</v>
      </c>
      <c r="G43" s="2"/>
      <c r="H43" s="1"/>
      <c r="I43" s="1">
        <f>I42+F43-H43</f>
        <v>0</v>
      </c>
      <c r="J43" s="1"/>
      <c r="K43" s="5"/>
    </row>
    <row r="44" spans="1:11">
      <c r="A44" s="4"/>
      <c r="B44" s="2"/>
      <c r="C44" s="1"/>
      <c r="D44" s="1"/>
      <c r="E44" s="1"/>
      <c r="F44" s="1">
        <f>D44*E44</f>
        <v>0</v>
      </c>
      <c r="G44" s="2"/>
      <c r="H44" s="1"/>
      <c r="I44" s="1">
        <f>I43+F44-H44</f>
        <v>0</v>
      </c>
      <c r="J44" s="1"/>
      <c r="K44" s="5"/>
    </row>
    <row r="45" spans="1:11">
      <c r="A45" s="4"/>
      <c r="B45" s="2"/>
      <c r="C45" s="1"/>
      <c r="D45" s="1"/>
      <c r="E45" s="1"/>
      <c r="F45" s="1">
        <f>D45*E45</f>
        <v>0</v>
      </c>
      <c r="G45" s="2"/>
      <c r="H45" s="1"/>
      <c r="I45" s="1">
        <f>I44+F45-H45</f>
        <v>0</v>
      </c>
      <c r="J45" s="1"/>
      <c r="K45" s="5"/>
    </row>
    <row r="46" spans="1:11">
      <c r="A46" s="4"/>
      <c r="B46" s="2"/>
      <c r="C46" s="1"/>
      <c r="D46" s="1"/>
      <c r="E46" s="1"/>
      <c r="F46" s="1">
        <f t="shared" si="0"/>
        <v>0</v>
      </c>
      <c r="G46" s="2"/>
      <c r="H46" s="1"/>
      <c r="I46" s="1">
        <f>I45+F46-H46</f>
        <v>0</v>
      </c>
      <c r="J46" s="1"/>
      <c r="K46" s="5"/>
    </row>
    <row r="47" spans="1:11">
      <c r="A47" s="8"/>
      <c r="B47" s="9"/>
      <c r="C47" s="10"/>
      <c r="D47" s="10"/>
      <c r="E47" s="10"/>
      <c r="F47" s="10">
        <f t="shared" si="0"/>
        <v>0</v>
      </c>
      <c r="G47" s="2"/>
      <c r="H47" s="10"/>
      <c r="I47" s="10">
        <f t="shared" si="1"/>
        <v>0</v>
      </c>
      <c r="J47" s="10"/>
      <c r="K47" s="11"/>
    </row>
    <row r="48" spans="1:11">
      <c r="A48" s="16" t="s">
        <v>86</v>
      </c>
      <c r="B48" s="9"/>
      <c r="C48" s="9"/>
      <c r="D48" s="9"/>
      <c r="E48" s="9"/>
      <c r="F48" s="9">
        <f>SUBTOTAL(109,テーブル1312131415161718192021222324272829303132333435363738394041424344454647[仕入金額])</f>
        <v>0</v>
      </c>
      <c r="G48" s="9"/>
      <c r="H48" s="9">
        <f>SUBTOTAL(109,テーブル1312131415161718192021222324272829303132333435363738394041424344454647[支払金額])</f>
        <v>0</v>
      </c>
      <c r="I48" s="9">
        <f>テーブル1312131415161718192021222324272829303132333435363738394041424344454647[[#Totals],[仕入金額]]-テーブル1312131415161718192021222324272829303132333435363738394041424344454647[[#Totals],[支払金額]]</f>
        <v>0</v>
      </c>
      <c r="J48" s="9"/>
      <c r="K48" s="17"/>
    </row>
  </sheetData>
  <phoneticPr fontId="1"/>
  <dataValidations count="4">
    <dataValidation type="list" allowBlank="1" showInputMessage="1" showErrorMessage="1" sqref="G2:G47" xr:uid="{90296806-97F4-4EF5-8D23-B733209C3EB4}">
      <formula1>",合銀1,合銀,島銀,現金,振込手数,値引"</formula1>
    </dataValidation>
    <dataValidation type="list" allowBlank="1" showInputMessage="1" showErrorMessage="1" sqref="B2:B47" xr:uid="{C71578C4-EDCF-4799-90DB-F3CBB4AB7637}">
      <formula1>"田原,田中,高木,勝田,森山,市村,金築,その他"</formula1>
    </dataValidation>
    <dataValidation type="list" allowBlank="1" showInputMessage="1" showErrorMessage="1" sqref="J2:K47" xr:uid="{54A9401F-66AB-4F10-BEA2-7609CC063AB7}">
      <formula1>"  ,済"</formula1>
    </dataValidation>
    <dataValidation type="list" allowBlank="1" showInputMessage="1" showErrorMessage="1" sqref="G49:G61" xr:uid="{32B287CF-EDE9-4B3E-92CA-97476A219915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&amp;C西村印刷</oddHeader>
  </headerFooter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33B63-B953-4C8C-9042-00F2E5B296A2}">
  <sheetPr codeName="Sheet50">
    <tabColor theme="9" tint="0.39997558519241921"/>
  </sheetPr>
  <dimension ref="A1:K48"/>
  <sheetViews>
    <sheetView workbookViewId="0">
      <pane ySplit="1" topLeftCell="A2" activePane="bottomLeft" state="frozen"/>
      <selection pane="bottomLeft" activeCell="E2" sqref="E2:K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/>
      <c r="D2" s="2"/>
      <c r="E2" s="2"/>
      <c r="F2" s="2">
        <f>D2*E2</f>
        <v>0</v>
      </c>
      <c r="G2" s="2"/>
      <c r="H2" s="2"/>
      <c r="I2" s="2">
        <f>F2-H2</f>
        <v>0</v>
      </c>
      <c r="J2" s="2"/>
      <c r="K2" s="5"/>
    </row>
    <row r="3" spans="1:11">
      <c r="A3" s="4"/>
      <c r="B3" s="2"/>
      <c r="C3" s="1"/>
      <c r="D3" s="1"/>
      <c r="E3" s="1"/>
      <c r="F3" s="1">
        <f t="shared" ref="F3:F47" si="0">D3*E3</f>
        <v>0</v>
      </c>
      <c r="G3" s="2"/>
      <c r="H3" s="1"/>
      <c r="I3" s="1">
        <f>I2+F3-H3</f>
        <v>0</v>
      </c>
      <c r="J3" s="1"/>
      <c r="K3" s="5"/>
    </row>
    <row r="4" spans="1:11">
      <c r="A4" s="4"/>
      <c r="B4" s="2"/>
      <c r="C4" s="1"/>
      <c r="D4" s="1"/>
      <c r="E4" s="1"/>
      <c r="F4" s="1">
        <f t="shared" si="0"/>
        <v>0</v>
      </c>
      <c r="G4" s="2"/>
      <c r="H4" s="1"/>
      <c r="I4" s="1">
        <f t="shared" ref="I4:I47" si="1">I3+F4-H4</f>
        <v>0</v>
      </c>
      <c r="J4" s="1"/>
      <c r="K4" s="5"/>
    </row>
    <row r="5" spans="1:11">
      <c r="A5" s="4"/>
      <c r="B5" s="2"/>
      <c r="C5" s="1"/>
      <c r="D5" s="1"/>
      <c r="E5" s="1"/>
      <c r="F5" s="1">
        <f t="shared" si="0"/>
        <v>0</v>
      </c>
      <c r="G5" s="2"/>
      <c r="H5" s="1"/>
      <c r="I5" s="1">
        <f t="shared" si="1"/>
        <v>0</v>
      </c>
      <c r="J5" s="1"/>
      <c r="K5" s="5"/>
    </row>
    <row r="6" spans="1:11">
      <c r="A6" s="4"/>
      <c r="B6" s="2"/>
      <c r="C6" s="1"/>
      <c r="D6" s="1"/>
      <c r="E6" s="1"/>
      <c r="F6" s="1">
        <f t="shared" si="0"/>
        <v>0</v>
      </c>
      <c r="G6" s="2"/>
      <c r="H6" s="1"/>
      <c r="I6" s="1">
        <f t="shared" si="1"/>
        <v>0</v>
      </c>
      <c r="J6" s="1"/>
      <c r="K6" s="5"/>
    </row>
    <row r="7" spans="1:11">
      <c r="A7" s="4"/>
      <c r="B7" s="2"/>
      <c r="C7" s="1"/>
      <c r="D7" s="1"/>
      <c r="E7" s="1"/>
      <c r="F7" s="1">
        <f t="shared" si="0"/>
        <v>0</v>
      </c>
      <c r="G7" s="2"/>
      <c r="H7" s="1"/>
      <c r="I7" s="1">
        <f t="shared" si="1"/>
        <v>0</v>
      </c>
      <c r="J7" s="1"/>
      <c r="K7" s="5"/>
    </row>
    <row r="8" spans="1:11">
      <c r="A8" s="4"/>
      <c r="B8" s="2"/>
      <c r="C8" s="1"/>
      <c r="D8" s="1"/>
      <c r="E8" s="1"/>
      <c r="F8" s="1">
        <f t="shared" si="0"/>
        <v>0</v>
      </c>
      <c r="G8" s="2"/>
      <c r="H8" s="1"/>
      <c r="I8" s="1">
        <f t="shared" si="1"/>
        <v>0</v>
      </c>
      <c r="J8" s="1"/>
      <c r="K8" s="5"/>
    </row>
    <row r="9" spans="1:11">
      <c r="A9" s="4"/>
      <c r="B9" s="2"/>
      <c r="C9" s="1"/>
      <c r="D9" s="1"/>
      <c r="E9" s="1"/>
      <c r="F9" s="1">
        <f t="shared" si="0"/>
        <v>0</v>
      </c>
      <c r="G9" s="2"/>
      <c r="H9" s="1"/>
      <c r="I9" s="1">
        <f t="shared" si="1"/>
        <v>0</v>
      </c>
      <c r="J9" s="1"/>
      <c r="K9" s="5"/>
    </row>
    <row r="10" spans="1:11">
      <c r="A10" s="4"/>
      <c r="B10" s="2"/>
      <c r="C10" s="1"/>
      <c r="D10" s="1"/>
      <c r="E10" s="1"/>
      <c r="F10" s="1">
        <f t="shared" si="0"/>
        <v>0</v>
      </c>
      <c r="G10" s="2"/>
      <c r="H10" s="1"/>
      <c r="I10" s="1">
        <f t="shared" si="1"/>
        <v>0</v>
      </c>
      <c r="J10" s="1"/>
      <c r="K10" s="5"/>
    </row>
    <row r="11" spans="1:11">
      <c r="A11" s="4"/>
      <c r="B11" s="2"/>
      <c r="C11" s="1"/>
      <c r="D11" s="1"/>
      <c r="E11" s="1"/>
      <c r="F11" s="1">
        <f t="shared" si="0"/>
        <v>0</v>
      </c>
      <c r="G11" s="2"/>
      <c r="H11" s="1"/>
      <c r="I11" s="1">
        <f t="shared" si="1"/>
        <v>0</v>
      </c>
      <c r="J11" s="1"/>
      <c r="K11" s="5"/>
    </row>
    <row r="12" spans="1:11">
      <c r="A12" s="4"/>
      <c r="B12" s="2"/>
      <c r="C12" s="1"/>
      <c r="D12" s="1"/>
      <c r="E12" s="1"/>
      <c r="F12" s="1">
        <f t="shared" si="0"/>
        <v>0</v>
      </c>
      <c r="G12" s="2"/>
      <c r="H12" s="1"/>
      <c r="I12" s="1">
        <f t="shared" si="1"/>
        <v>0</v>
      </c>
      <c r="J12" s="1"/>
      <c r="K12" s="5"/>
    </row>
    <row r="13" spans="1:11">
      <c r="A13" s="4"/>
      <c r="B13" s="2"/>
      <c r="C13" s="1"/>
      <c r="D13" s="1"/>
      <c r="E13" s="1"/>
      <c r="F13" s="1">
        <f t="shared" si="0"/>
        <v>0</v>
      </c>
      <c r="G13" s="2"/>
      <c r="H13" s="1"/>
      <c r="I13" s="1">
        <f t="shared" si="1"/>
        <v>0</v>
      </c>
      <c r="J13" s="1"/>
      <c r="K13" s="5"/>
    </row>
    <row r="14" spans="1:11">
      <c r="A14" s="4"/>
      <c r="B14" s="2"/>
      <c r="C14" s="1"/>
      <c r="D14" s="1"/>
      <c r="E14" s="1"/>
      <c r="F14" s="1">
        <f t="shared" si="0"/>
        <v>0</v>
      </c>
      <c r="G14" s="2"/>
      <c r="H14" s="1"/>
      <c r="I14" s="1">
        <f t="shared" si="1"/>
        <v>0</v>
      </c>
      <c r="J14" s="1"/>
      <c r="K14" s="5"/>
    </row>
    <row r="15" spans="1:11">
      <c r="A15" s="4"/>
      <c r="B15" s="2"/>
      <c r="C15" s="1"/>
      <c r="D15" s="1"/>
      <c r="E15" s="1"/>
      <c r="F15" s="1">
        <f t="shared" si="0"/>
        <v>0</v>
      </c>
      <c r="G15" s="2"/>
      <c r="H15" s="1"/>
      <c r="I15" s="1">
        <f t="shared" si="1"/>
        <v>0</v>
      </c>
      <c r="J15" s="1"/>
      <c r="K15" s="5"/>
    </row>
    <row r="16" spans="1:11">
      <c r="A16" s="4"/>
      <c r="B16" s="2"/>
      <c r="C16" s="1"/>
      <c r="D16" s="1"/>
      <c r="E16" s="1"/>
      <c r="F16" s="1">
        <f t="shared" si="0"/>
        <v>0</v>
      </c>
      <c r="G16" s="2"/>
      <c r="H16" s="1"/>
      <c r="I16" s="1">
        <f t="shared" si="1"/>
        <v>0</v>
      </c>
      <c r="J16" s="1"/>
      <c r="K16" s="5"/>
    </row>
    <row r="17" spans="1:11">
      <c r="A17" s="4"/>
      <c r="B17" s="2"/>
      <c r="C17" s="1"/>
      <c r="D17" s="1"/>
      <c r="E17" s="1"/>
      <c r="F17" s="1">
        <f t="shared" si="0"/>
        <v>0</v>
      </c>
      <c r="G17" s="2"/>
      <c r="H17" s="1"/>
      <c r="I17" s="1">
        <f t="shared" si="1"/>
        <v>0</v>
      </c>
      <c r="J17" s="1"/>
      <c r="K17" s="5"/>
    </row>
    <row r="18" spans="1:11">
      <c r="A18" s="4"/>
      <c r="B18" s="2"/>
      <c r="C18" s="1"/>
      <c r="D18" s="1"/>
      <c r="E18" s="1"/>
      <c r="F18" s="1">
        <f t="shared" si="0"/>
        <v>0</v>
      </c>
      <c r="G18" s="2"/>
      <c r="H18" s="1"/>
      <c r="I18" s="1">
        <f t="shared" si="1"/>
        <v>0</v>
      </c>
      <c r="J18" s="1"/>
      <c r="K18" s="5"/>
    </row>
    <row r="19" spans="1:11">
      <c r="A19" s="4"/>
      <c r="B19" s="2"/>
      <c r="C19" s="1"/>
      <c r="D19" s="1"/>
      <c r="E19" s="1"/>
      <c r="F19" s="1">
        <f t="shared" si="0"/>
        <v>0</v>
      </c>
      <c r="G19" s="2"/>
      <c r="H19" s="1"/>
      <c r="I19" s="1">
        <f t="shared" si="1"/>
        <v>0</v>
      </c>
      <c r="J19" s="1"/>
      <c r="K19" s="5"/>
    </row>
    <row r="20" spans="1:11">
      <c r="A20" s="4"/>
      <c r="B20" s="2"/>
      <c r="C20" s="1"/>
      <c r="D20" s="1"/>
      <c r="E20" s="1"/>
      <c r="F20" s="1">
        <f t="shared" si="0"/>
        <v>0</v>
      </c>
      <c r="G20" s="2"/>
      <c r="H20" s="1"/>
      <c r="I20" s="1">
        <f t="shared" si="1"/>
        <v>0</v>
      </c>
      <c r="J20" s="1"/>
      <c r="K20" s="5"/>
    </row>
    <row r="21" spans="1:11">
      <c r="A21" s="4"/>
      <c r="B21" s="2"/>
      <c r="C21" s="1"/>
      <c r="D21" s="1"/>
      <c r="E21" s="1"/>
      <c r="F21" s="1">
        <f t="shared" si="0"/>
        <v>0</v>
      </c>
      <c r="G21" s="2"/>
      <c r="H21" s="1"/>
      <c r="I21" s="1">
        <f t="shared" si="1"/>
        <v>0</v>
      </c>
      <c r="J21" s="1"/>
      <c r="K21" s="5"/>
    </row>
    <row r="22" spans="1:11">
      <c r="A22" s="4"/>
      <c r="B22" s="2"/>
      <c r="C22" s="1"/>
      <c r="D22" s="1"/>
      <c r="E22" s="1"/>
      <c r="F22" s="1">
        <f t="shared" si="0"/>
        <v>0</v>
      </c>
      <c r="G22" s="2"/>
      <c r="H22" s="1"/>
      <c r="I22" s="1">
        <f t="shared" si="1"/>
        <v>0</v>
      </c>
      <c r="J22" s="1"/>
      <c r="K22" s="5"/>
    </row>
    <row r="23" spans="1:11">
      <c r="A23" s="4"/>
      <c r="B23" s="2"/>
      <c r="C23" s="1"/>
      <c r="D23" s="1"/>
      <c r="E23" s="1"/>
      <c r="F23" s="1">
        <f t="shared" si="0"/>
        <v>0</v>
      </c>
      <c r="G23" s="2"/>
      <c r="H23" s="1"/>
      <c r="I23" s="1">
        <f t="shared" si="1"/>
        <v>0</v>
      </c>
      <c r="J23" s="1"/>
      <c r="K23" s="5"/>
    </row>
    <row r="24" spans="1:11">
      <c r="A24" s="4"/>
      <c r="B24" s="2"/>
      <c r="C24" s="1"/>
      <c r="D24" s="1"/>
      <c r="E24" s="1"/>
      <c r="F24" s="1">
        <f t="shared" si="0"/>
        <v>0</v>
      </c>
      <c r="G24" s="2"/>
      <c r="H24" s="1"/>
      <c r="I24" s="1">
        <f t="shared" si="1"/>
        <v>0</v>
      </c>
      <c r="J24" s="1"/>
      <c r="K24" s="5"/>
    </row>
    <row r="25" spans="1:11">
      <c r="A25" s="4"/>
      <c r="B25" s="2"/>
      <c r="C25" s="1"/>
      <c r="D25" s="1"/>
      <c r="E25" s="1"/>
      <c r="F25" s="1">
        <f t="shared" si="0"/>
        <v>0</v>
      </c>
      <c r="G25" s="2"/>
      <c r="H25" s="1"/>
      <c r="I25" s="1">
        <f t="shared" si="1"/>
        <v>0</v>
      </c>
      <c r="J25" s="1"/>
      <c r="K25" s="5"/>
    </row>
    <row r="26" spans="1:11">
      <c r="A26" s="4"/>
      <c r="B26" s="2"/>
      <c r="C26" s="1"/>
      <c r="D26" s="1"/>
      <c r="E26" s="1"/>
      <c r="F26" s="1">
        <f t="shared" si="0"/>
        <v>0</v>
      </c>
      <c r="G26" s="2"/>
      <c r="H26" s="1"/>
      <c r="I26" s="1">
        <f t="shared" si="1"/>
        <v>0</v>
      </c>
      <c r="J26" s="1"/>
      <c r="K26" s="5"/>
    </row>
    <row r="27" spans="1:11">
      <c r="A27" s="4"/>
      <c r="B27" s="2"/>
      <c r="C27" s="1"/>
      <c r="D27" s="1"/>
      <c r="E27" s="1"/>
      <c r="F27" s="1">
        <f t="shared" si="0"/>
        <v>0</v>
      </c>
      <c r="G27" s="2"/>
      <c r="H27" s="1"/>
      <c r="I27" s="1">
        <f t="shared" si="1"/>
        <v>0</v>
      </c>
      <c r="J27" s="1"/>
      <c r="K27" s="5"/>
    </row>
    <row r="28" spans="1:11">
      <c r="A28" s="4"/>
      <c r="B28" s="2"/>
      <c r="C28" s="1"/>
      <c r="D28" s="1"/>
      <c r="E28" s="1"/>
      <c r="F28" s="1">
        <f t="shared" si="0"/>
        <v>0</v>
      </c>
      <c r="G28" s="2"/>
      <c r="H28" s="1"/>
      <c r="I28" s="1">
        <f t="shared" si="1"/>
        <v>0</v>
      </c>
      <c r="J28" s="1"/>
      <c r="K28" s="5"/>
    </row>
    <row r="29" spans="1:11">
      <c r="A29" s="4"/>
      <c r="B29" s="2"/>
      <c r="C29" s="1"/>
      <c r="D29" s="1"/>
      <c r="E29" s="1"/>
      <c r="F29" s="1">
        <f t="shared" si="0"/>
        <v>0</v>
      </c>
      <c r="G29" s="2"/>
      <c r="H29" s="1"/>
      <c r="I29" s="1">
        <f t="shared" si="1"/>
        <v>0</v>
      </c>
      <c r="J29" s="1"/>
      <c r="K29" s="5"/>
    </row>
    <row r="30" spans="1:11">
      <c r="A30" s="4"/>
      <c r="B30" s="2"/>
      <c r="C30" s="1"/>
      <c r="D30" s="1"/>
      <c r="E30" s="1"/>
      <c r="F30" s="1">
        <f t="shared" si="0"/>
        <v>0</v>
      </c>
      <c r="G30" s="2"/>
      <c r="H30" s="1"/>
      <c r="I30" s="1">
        <f t="shared" si="1"/>
        <v>0</v>
      </c>
      <c r="J30" s="1"/>
      <c r="K30" s="5"/>
    </row>
    <row r="31" spans="1:11">
      <c r="A31" s="4"/>
      <c r="B31" s="2"/>
      <c r="C31" s="1"/>
      <c r="D31" s="1"/>
      <c r="E31" s="1"/>
      <c r="F31" s="1">
        <f t="shared" si="0"/>
        <v>0</v>
      </c>
      <c r="G31" s="2"/>
      <c r="H31" s="1"/>
      <c r="I31" s="1">
        <f t="shared" si="1"/>
        <v>0</v>
      </c>
      <c r="J31" s="1"/>
      <c r="K31" s="5"/>
    </row>
    <row r="32" spans="1:11">
      <c r="A32" s="4"/>
      <c r="B32" s="2"/>
      <c r="C32" s="1"/>
      <c r="D32" s="1"/>
      <c r="E32" s="1"/>
      <c r="F32" s="1">
        <f t="shared" si="0"/>
        <v>0</v>
      </c>
      <c r="G32" s="2"/>
      <c r="H32" s="1"/>
      <c r="I32" s="1">
        <f t="shared" si="1"/>
        <v>0</v>
      </c>
      <c r="J32" s="1"/>
      <c r="K32" s="5"/>
    </row>
    <row r="33" spans="1:11">
      <c r="A33" s="4"/>
      <c r="B33" s="2"/>
      <c r="C33" s="1"/>
      <c r="D33" s="1"/>
      <c r="E33" s="1"/>
      <c r="F33" s="1">
        <f t="shared" si="0"/>
        <v>0</v>
      </c>
      <c r="G33" s="2"/>
      <c r="H33" s="1"/>
      <c r="I33" s="1">
        <f t="shared" si="1"/>
        <v>0</v>
      </c>
      <c r="J33" s="1"/>
      <c r="K33" s="5"/>
    </row>
    <row r="34" spans="1:11">
      <c r="A34" s="4"/>
      <c r="B34" s="2"/>
      <c r="C34" s="1"/>
      <c r="D34" s="1"/>
      <c r="E34" s="1"/>
      <c r="F34" s="1">
        <f t="shared" si="0"/>
        <v>0</v>
      </c>
      <c r="G34" s="2"/>
      <c r="H34" s="1"/>
      <c r="I34" s="1">
        <f t="shared" si="1"/>
        <v>0</v>
      </c>
      <c r="J34" s="1"/>
      <c r="K34" s="5"/>
    </row>
    <row r="35" spans="1:11">
      <c r="A35" s="4"/>
      <c r="B35" s="2"/>
      <c r="C35" s="1"/>
      <c r="D35" s="1"/>
      <c r="E35" s="1"/>
      <c r="F35" s="1">
        <f t="shared" si="0"/>
        <v>0</v>
      </c>
      <c r="G35" s="2"/>
      <c r="H35" s="1"/>
      <c r="I35" s="1">
        <f t="shared" si="1"/>
        <v>0</v>
      </c>
      <c r="J35" s="1"/>
      <c r="K35" s="5"/>
    </row>
    <row r="36" spans="1:11">
      <c r="A36" s="4"/>
      <c r="B36" s="2"/>
      <c r="C36" s="1"/>
      <c r="D36" s="1"/>
      <c r="E36" s="1"/>
      <c r="F36" s="1">
        <f t="shared" si="0"/>
        <v>0</v>
      </c>
      <c r="G36" s="2"/>
      <c r="H36" s="1"/>
      <c r="I36" s="1">
        <f t="shared" si="1"/>
        <v>0</v>
      </c>
      <c r="J36" s="1"/>
      <c r="K36" s="5"/>
    </row>
    <row r="37" spans="1:11">
      <c r="A37" s="4"/>
      <c r="B37" s="2"/>
      <c r="C37" s="1"/>
      <c r="D37" s="1"/>
      <c r="E37" s="1"/>
      <c r="F37" s="1">
        <f t="shared" si="0"/>
        <v>0</v>
      </c>
      <c r="G37" s="2"/>
      <c r="H37" s="1"/>
      <c r="I37" s="1">
        <f t="shared" si="1"/>
        <v>0</v>
      </c>
      <c r="J37" s="1"/>
      <c r="K37" s="5"/>
    </row>
    <row r="38" spans="1:11">
      <c r="A38" s="4"/>
      <c r="B38" s="2"/>
      <c r="C38" s="1"/>
      <c r="D38" s="1"/>
      <c r="E38" s="1"/>
      <c r="F38" s="1">
        <f t="shared" si="0"/>
        <v>0</v>
      </c>
      <c r="G38" s="2"/>
      <c r="H38" s="1"/>
      <c r="I38" s="1">
        <f t="shared" si="1"/>
        <v>0</v>
      </c>
      <c r="J38" s="1"/>
      <c r="K38" s="5"/>
    </row>
    <row r="39" spans="1:11">
      <c r="A39" s="4"/>
      <c r="B39" s="2"/>
      <c r="C39" s="1"/>
      <c r="D39" s="1"/>
      <c r="E39" s="1"/>
      <c r="F39" s="1">
        <f t="shared" si="0"/>
        <v>0</v>
      </c>
      <c r="G39" s="2"/>
      <c r="H39" s="1"/>
      <c r="I39" s="1">
        <f t="shared" si="1"/>
        <v>0</v>
      </c>
      <c r="J39" s="1"/>
      <c r="K39" s="5"/>
    </row>
    <row r="40" spans="1:11">
      <c r="A40" s="4"/>
      <c r="B40" s="2"/>
      <c r="C40" s="1"/>
      <c r="D40" s="1"/>
      <c r="E40" s="1"/>
      <c r="F40" s="1">
        <f t="shared" si="0"/>
        <v>0</v>
      </c>
      <c r="G40" s="2"/>
      <c r="H40" s="1"/>
      <c r="I40" s="1">
        <f t="shared" si="1"/>
        <v>0</v>
      </c>
      <c r="J40" s="1"/>
      <c r="K40" s="5"/>
    </row>
    <row r="41" spans="1:11">
      <c r="A41" s="4"/>
      <c r="B41" s="2"/>
      <c r="C41" s="1"/>
      <c r="D41" s="1"/>
      <c r="E41" s="1"/>
      <c r="F41" s="1">
        <f t="shared" si="0"/>
        <v>0</v>
      </c>
      <c r="G41" s="2"/>
      <c r="H41" s="1"/>
      <c r="I41" s="1">
        <f t="shared" si="1"/>
        <v>0</v>
      </c>
      <c r="J41" s="1"/>
      <c r="K41" s="5"/>
    </row>
    <row r="42" spans="1:11">
      <c r="A42" s="4"/>
      <c r="B42" s="2"/>
      <c r="C42" s="1"/>
      <c r="D42" s="1"/>
      <c r="E42" s="1"/>
      <c r="F42" s="1">
        <f t="shared" si="0"/>
        <v>0</v>
      </c>
      <c r="G42" s="2"/>
      <c r="H42" s="1"/>
      <c r="I42" s="1">
        <f t="shared" si="1"/>
        <v>0</v>
      </c>
      <c r="J42" s="1"/>
      <c r="K42" s="5"/>
    </row>
    <row r="43" spans="1:11">
      <c r="A43" s="4"/>
      <c r="B43" s="2"/>
      <c r="C43" s="1"/>
      <c r="D43" s="1"/>
      <c r="E43" s="1"/>
      <c r="F43" s="1">
        <f>D43*E43</f>
        <v>0</v>
      </c>
      <c r="G43" s="2"/>
      <c r="H43" s="1"/>
      <c r="I43" s="1">
        <f>I42+F43-H43</f>
        <v>0</v>
      </c>
      <c r="J43" s="1"/>
      <c r="K43" s="5"/>
    </row>
    <row r="44" spans="1:11">
      <c r="A44" s="4"/>
      <c r="B44" s="2"/>
      <c r="C44" s="1"/>
      <c r="D44" s="1"/>
      <c r="E44" s="1"/>
      <c r="F44" s="1">
        <f>D44*E44</f>
        <v>0</v>
      </c>
      <c r="G44" s="2"/>
      <c r="H44" s="1"/>
      <c r="I44" s="1">
        <f>I43+F44-H44</f>
        <v>0</v>
      </c>
      <c r="J44" s="1"/>
      <c r="K44" s="5"/>
    </row>
    <row r="45" spans="1:11">
      <c r="A45" s="4"/>
      <c r="B45" s="2"/>
      <c r="C45" s="1"/>
      <c r="D45" s="1"/>
      <c r="E45" s="1"/>
      <c r="F45" s="1">
        <f>D45*E45</f>
        <v>0</v>
      </c>
      <c r="G45" s="2"/>
      <c r="H45" s="1"/>
      <c r="I45" s="1">
        <f>I44+F45-H45</f>
        <v>0</v>
      </c>
      <c r="J45" s="1"/>
      <c r="K45" s="5"/>
    </row>
    <row r="46" spans="1:11">
      <c r="A46" s="4"/>
      <c r="B46" s="2"/>
      <c r="C46" s="1"/>
      <c r="D46" s="1"/>
      <c r="E46" s="1"/>
      <c r="F46" s="1">
        <f t="shared" si="0"/>
        <v>0</v>
      </c>
      <c r="G46" s="2"/>
      <c r="H46" s="1"/>
      <c r="I46" s="1">
        <f>I45+F46-H46</f>
        <v>0</v>
      </c>
      <c r="J46" s="1"/>
      <c r="K46" s="5"/>
    </row>
    <row r="47" spans="1:11">
      <c r="A47" s="8"/>
      <c r="B47" s="9"/>
      <c r="C47" s="10"/>
      <c r="D47" s="10"/>
      <c r="E47" s="10"/>
      <c r="F47" s="10">
        <f t="shared" si="0"/>
        <v>0</v>
      </c>
      <c r="G47" s="2"/>
      <c r="H47" s="10"/>
      <c r="I47" s="10">
        <f t="shared" si="1"/>
        <v>0</v>
      </c>
      <c r="J47" s="10"/>
      <c r="K47" s="11"/>
    </row>
    <row r="48" spans="1:11">
      <c r="A48" s="16" t="s">
        <v>86</v>
      </c>
      <c r="B48" s="9"/>
      <c r="C48" s="9"/>
      <c r="D48" s="9"/>
      <c r="E48" s="9"/>
      <c r="F48" s="9">
        <f>SUBTOTAL(109,テーブル131213141516171819202122232427282930313233343536373839404142434445464748[仕入金額])</f>
        <v>0</v>
      </c>
      <c r="G48" s="9"/>
      <c r="H48" s="9">
        <f>SUBTOTAL(109,テーブル131213141516171819202122232427282930313233343536373839404142434445464748[支払金額])</f>
        <v>0</v>
      </c>
      <c r="I48" s="9">
        <f>テーブル131213141516171819202122232427282930313233343536373839404142434445464748[[#Totals],[仕入金額]]-テーブル131213141516171819202122232427282930313233343536373839404142434445464748[[#Totals],[支払金額]]</f>
        <v>0</v>
      </c>
      <c r="J48" s="9"/>
      <c r="K48" s="17"/>
    </row>
  </sheetData>
  <phoneticPr fontId="1"/>
  <dataValidations count="4">
    <dataValidation type="list" allowBlank="1" showInputMessage="1" showErrorMessage="1" sqref="G49:G61" xr:uid="{2CE644C5-F179-4C1F-A963-F9CEA8F28BF4}">
      <formula1>",合銀1,合銀,島銀,振込手数,    "</formula1>
    </dataValidation>
    <dataValidation type="list" allowBlank="1" showInputMessage="1" showErrorMessage="1" sqref="J2:K47" xr:uid="{63A7C970-96BD-4E5D-8F98-5352059FE50C}">
      <formula1>"  ,済"</formula1>
    </dataValidation>
    <dataValidation type="list" allowBlank="1" showInputMessage="1" showErrorMessage="1" sqref="B2:B47" xr:uid="{98EDAA74-5DDB-47F0-BD9F-DB131A939682}">
      <formula1>"田原,田中,高木,勝田,森山,市村,金築,その他"</formula1>
    </dataValidation>
    <dataValidation type="list" allowBlank="1" showInputMessage="1" showErrorMessage="1" sqref="G2:G47" xr:uid="{1924A2FC-32B9-4DCD-80ED-EF17024EDC0A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&amp;Cムーンライトファクトリー</oddHeader>
  </headerFooter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9D1A0-3C0B-4273-B7E1-D17357120C66}">
  <sheetPr codeName="Sheet51">
    <tabColor theme="9" tint="0.39997558519241921"/>
  </sheetPr>
  <dimension ref="A1:K48"/>
  <sheetViews>
    <sheetView workbookViewId="0">
      <pane ySplit="1" topLeftCell="A2" activePane="bottomLeft" state="frozen"/>
      <selection pane="bottomLeft" activeCell="O8" sqref="O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9.5" bestFit="1" customWidth="1"/>
    <col min="6" max="6" width="12.625" customWidth="1"/>
    <col min="7" max="7" width="10.375" customWidth="1"/>
    <col min="8" max="8" width="12.625" customWidth="1"/>
    <col min="9" max="9" width="13.25" bestFit="1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 ht="25.5">
      <c r="A2" s="3">
        <v>44671</v>
      </c>
      <c r="B2" s="2"/>
      <c r="C2" s="26" t="s">
        <v>184</v>
      </c>
      <c r="D2" s="2">
        <v>1</v>
      </c>
      <c r="E2" s="30">
        <v>27500</v>
      </c>
      <c r="F2" s="30">
        <f>D2*E2</f>
        <v>27500</v>
      </c>
      <c r="G2" s="30"/>
      <c r="H2" s="30"/>
      <c r="I2" s="30">
        <f>F2-H2</f>
        <v>27500</v>
      </c>
      <c r="J2" s="30" t="s">
        <v>89</v>
      </c>
      <c r="K2" s="31" t="s">
        <v>89</v>
      </c>
    </row>
    <row r="3" spans="1:11">
      <c r="A3" s="4">
        <v>44701</v>
      </c>
      <c r="B3" s="2"/>
      <c r="C3" s="25"/>
      <c r="D3" s="1"/>
      <c r="E3" s="32"/>
      <c r="F3" s="32">
        <f t="shared" ref="F3:F47" si="0">D3*E3</f>
        <v>0</v>
      </c>
      <c r="G3" s="30" t="s">
        <v>90</v>
      </c>
      <c r="H3" s="32">
        <v>27500</v>
      </c>
      <c r="I3" s="32">
        <f>I2+F3-H3</f>
        <v>0</v>
      </c>
      <c r="J3" s="30" t="s">
        <v>89</v>
      </c>
      <c r="K3" s="31" t="s">
        <v>89</v>
      </c>
    </row>
    <row r="4" spans="1:11" ht="25.5">
      <c r="A4" s="4">
        <v>44701</v>
      </c>
      <c r="B4" s="2"/>
      <c r="C4" s="29" t="s">
        <v>185</v>
      </c>
      <c r="D4" s="1">
        <v>1</v>
      </c>
      <c r="E4" s="32">
        <v>330000</v>
      </c>
      <c r="F4" s="32">
        <f t="shared" si="0"/>
        <v>330000</v>
      </c>
      <c r="G4" s="30"/>
      <c r="H4" s="32"/>
      <c r="I4" s="32">
        <f t="shared" ref="I4:I47" si="1">I3+F4-H4</f>
        <v>330000</v>
      </c>
      <c r="J4" s="30" t="s">
        <v>89</v>
      </c>
      <c r="K4" s="31" t="s">
        <v>89</v>
      </c>
    </row>
    <row r="5" spans="1:11">
      <c r="A5" s="4">
        <v>44701</v>
      </c>
      <c r="B5" s="2"/>
      <c r="C5" s="25" t="s">
        <v>186</v>
      </c>
      <c r="D5" s="1">
        <v>1</v>
      </c>
      <c r="E5" s="32">
        <v>44000</v>
      </c>
      <c r="F5" s="32">
        <f>D5*E5</f>
        <v>44000</v>
      </c>
      <c r="G5" s="30"/>
      <c r="H5" s="32"/>
      <c r="I5" s="32">
        <f>I6+F5-H5</f>
        <v>44000</v>
      </c>
      <c r="J5" s="30" t="s">
        <v>89</v>
      </c>
      <c r="K5" s="31" t="s">
        <v>89</v>
      </c>
    </row>
    <row r="6" spans="1:11">
      <c r="A6" s="4">
        <v>44732</v>
      </c>
      <c r="B6" s="2"/>
      <c r="C6" s="25"/>
      <c r="D6" s="1"/>
      <c r="E6" s="32"/>
      <c r="F6" s="32">
        <f t="shared" si="0"/>
        <v>0</v>
      </c>
      <c r="G6" s="30" t="s">
        <v>90</v>
      </c>
      <c r="H6" s="32">
        <v>330000</v>
      </c>
      <c r="I6" s="32">
        <f>I4+F6-H6</f>
        <v>0</v>
      </c>
      <c r="J6" s="30" t="s">
        <v>89</v>
      </c>
      <c r="K6" s="31" t="s">
        <v>89</v>
      </c>
    </row>
    <row r="7" spans="1:11">
      <c r="A7" s="4">
        <v>44732</v>
      </c>
      <c r="B7" s="2"/>
      <c r="C7" s="25"/>
      <c r="D7" s="1"/>
      <c r="E7" s="32"/>
      <c r="F7" s="32">
        <f t="shared" si="0"/>
        <v>0</v>
      </c>
      <c r="G7" s="30" t="s">
        <v>90</v>
      </c>
      <c r="H7" s="32">
        <v>44000</v>
      </c>
      <c r="I7" s="32">
        <f>I5+F7-H7</f>
        <v>0</v>
      </c>
      <c r="J7" s="30" t="s">
        <v>89</v>
      </c>
      <c r="K7" s="31" t="s">
        <v>89</v>
      </c>
    </row>
    <row r="8" spans="1:11" ht="25.5">
      <c r="A8" s="4">
        <v>44732</v>
      </c>
      <c r="B8" s="2"/>
      <c r="C8" s="29" t="s">
        <v>185</v>
      </c>
      <c r="D8" s="1">
        <v>1</v>
      </c>
      <c r="E8" s="32">
        <v>55000</v>
      </c>
      <c r="F8" s="32">
        <f t="shared" si="0"/>
        <v>55000</v>
      </c>
      <c r="G8" s="30"/>
      <c r="H8" s="32"/>
      <c r="I8" s="32">
        <f t="shared" si="1"/>
        <v>55000</v>
      </c>
      <c r="J8" s="30" t="s">
        <v>89</v>
      </c>
      <c r="K8" s="31" t="s">
        <v>89</v>
      </c>
    </row>
    <row r="9" spans="1:11">
      <c r="A9" s="4">
        <v>44732</v>
      </c>
      <c r="B9" s="2"/>
      <c r="C9" s="25" t="s">
        <v>187</v>
      </c>
      <c r="D9" s="1">
        <v>1</v>
      </c>
      <c r="E9" s="32">
        <v>65560</v>
      </c>
      <c r="F9" s="32">
        <f>D9*E9</f>
        <v>65560</v>
      </c>
      <c r="G9" s="30"/>
      <c r="H9" s="32"/>
      <c r="I9" s="32">
        <f>I10+F9-H9</f>
        <v>65560</v>
      </c>
      <c r="J9" s="30" t="s">
        <v>89</v>
      </c>
      <c r="K9" s="31" t="s">
        <v>89</v>
      </c>
    </row>
    <row r="10" spans="1:11">
      <c r="A10" s="4">
        <v>44762</v>
      </c>
      <c r="B10" s="2"/>
      <c r="C10" s="25"/>
      <c r="D10" s="1"/>
      <c r="E10" s="32"/>
      <c r="F10" s="32">
        <f t="shared" si="0"/>
        <v>0</v>
      </c>
      <c r="G10" s="30" t="s">
        <v>90</v>
      </c>
      <c r="H10" s="32">
        <v>55000</v>
      </c>
      <c r="I10" s="32">
        <f>I8+F10-H10</f>
        <v>0</v>
      </c>
      <c r="J10" s="30" t="s">
        <v>89</v>
      </c>
      <c r="K10" s="31" t="s">
        <v>89</v>
      </c>
    </row>
    <row r="11" spans="1:11">
      <c r="A11" s="4">
        <v>44762</v>
      </c>
      <c r="B11" s="2"/>
      <c r="C11" s="25"/>
      <c r="D11" s="1"/>
      <c r="E11" s="32"/>
      <c r="F11" s="32">
        <f t="shared" si="0"/>
        <v>0</v>
      </c>
      <c r="G11" s="30" t="s">
        <v>90</v>
      </c>
      <c r="H11" s="32">
        <v>65450</v>
      </c>
      <c r="I11" s="32">
        <f>I9+F11-H11</f>
        <v>110</v>
      </c>
      <c r="J11" s="30" t="s">
        <v>89</v>
      </c>
      <c r="K11" s="31" t="s">
        <v>89</v>
      </c>
    </row>
    <row r="12" spans="1:11">
      <c r="A12" s="4">
        <v>44762</v>
      </c>
      <c r="B12" s="2"/>
      <c r="C12" s="25"/>
      <c r="D12" s="1"/>
      <c r="E12" s="32"/>
      <c r="F12" s="32">
        <f t="shared" si="0"/>
        <v>0</v>
      </c>
      <c r="G12" s="30" t="s">
        <v>91</v>
      </c>
      <c r="H12" s="32">
        <v>110</v>
      </c>
      <c r="I12" s="32">
        <f t="shared" si="1"/>
        <v>0</v>
      </c>
      <c r="J12" s="30" t="s">
        <v>89</v>
      </c>
      <c r="K12" s="31" t="s">
        <v>89</v>
      </c>
    </row>
    <row r="13" spans="1:11">
      <c r="A13" s="4"/>
      <c r="B13" s="2"/>
      <c r="C13" s="25"/>
      <c r="D13" s="1"/>
      <c r="E13" s="32"/>
      <c r="F13" s="32">
        <f t="shared" si="0"/>
        <v>0</v>
      </c>
      <c r="G13" s="30"/>
      <c r="H13" s="32"/>
      <c r="I13" s="32">
        <f t="shared" si="1"/>
        <v>0</v>
      </c>
      <c r="J13" s="32"/>
      <c r="K13" s="31"/>
    </row>
    <row r="14" spans="1:11">
      <c r="A14" s="4"/>
      <c r="B14" s="2"/>
      <c r="C14" s="25"/>
      <c r="D14" s="1"/>
      <c r="E14" s="32"/>
      <c r="F14" s="32">
        <f t="shared" si="0"/>
        <v>0</v>
      </c>
      <c r="G14" s="30"/>
      <c r="H14" s="32"/>
      <c r="I14" s="32">
        <f t="shared" si="1"/>
        <v>0</v>
      </c>
      <c r="J14" s="32"/>
      <c r="K14" s="31"/>
    </row>
    <row r="15" spans="1:11">
      <c r="A15" s="4"/>
      <c r="B15" s="2"/>
      <c r="C15" s="25"/>
      <c r="D15" s="1"/>
      <c r="E15" s="32"/>
      <c r="F15" s="32">
        <f t="shared" si="0"/>
        <v>0</v>
      </c>
      <c r="G15" s="30"/>
      <c r="H15" s="32"/>
      <c r="I15" s="32">
        <f t="shared" si="1"/>
        <v>0</v>
      </c>
      <c r="J15" s="32"/>
      <c r="K15" s="31"/>
    </row>
    <row r="16" spans="1:11">
      <c r="A16" s="4"/>
      <c r="B16" s="2"/>
      <c r="C16" s="25"/>
      <c r="D16" s="1"/>
      <c r="E16" s="32"/>
      <c r="F16" s="32">
        <f t="shared" si="0"/>
        <v>0</v>
      </c>
      <c r="G16" s="30"/>
      <c r="H16" s="32"/>
      <c r="I16" s="32">
        <f t="shared" si="1"/>
        <v>0</v>
      </c>
      <c r="J16" s="32"/>
      <c r="K16" s="31"/>
    </row>
    <row r="17" spans="1:11">
      <c r="A17" s="4"/>
      <c r="B17" s="2"/>
      <c r="C17" s="25"/>
      <c r="D17" s="1"/>
      <c r="E17" s="32"/>
      <c r="F17" s="32">
        <f t="shared" si="0"/>
        <v>0</v>
      </c>
      <c r="G17" s="30"/>
      <c r="H17" s="32"/>
      <c r="I17" s="32">
        <f t="shared" si="1"/>
        <v>0</v>
      </c>
      <c r="J17" s="32"/>
      <c r="K17" s="31"/>
    </row>
    <row r="18" spans="1:11">
      <c r="A18" s="4"/>
      <c r="B18" s="2"/>
      <c r="C18" s="25"/>
      <c r="D18" s="1"/>
      <c r="E18" s="32"/>
      <c r="F18" s="32">
        <f t="shared" si="0"/>
        <v>0</v>
      </c>
      <c r="G18" s="30"/>
      <c r="H18" s="32"/>
      <c r="I18" s="32">
        <f t="shared" si="1"/>
        <v>0</v>
      </c>
      <c r="J18" s="32"/>
      <c r="K18" s="31"/>
    </row>
    <row r="19" spans="1:11">
      <c r="A19" s="4"/>
      <c r="B19" s="2"/>
      <c r="C19" s="25"/>
      <c r="D19" s="1"/>
      <c r="E19" s="32"/>
      <c r="F19" s="32">
        <f t="shared" si="0"/>
        <v>0</v>
      </c>
      <c r="G19" s="30"/>
      <c r="H19" s="32"/>
      <c r="I19" s="32">
        <f t="shared" si="1"/>
        <v>0</v>
      </c>
      <c r="J19" s="32"/>
      <c r="K19" s="31"/>
    </row>
    <row r="20" spans="1:11">
      <c r="A20" s="4"/>
      <c r="B20" s="2"/>
      <c r="C20" s="25"/>
      <c r="D20" s="1"/>
      <c r="E20" s="32"/>
      <c r="F20" s="32">
        <f t="shared" si="0"/>
        <v>0</v>
      </c>
      <c r="G20" s="30"/>
      <c r="H20" s="32"/>
      <c r="I20" s="32">
        <f t="shared" si="1"/>
        <v>0</v>
      </c>
      <c r="J20" s="32"/>
      <c r="K20" s="31"/>
    </row>
    <row r="21" spans="1:11">
      <c r="A21" s="4"/>
      <c r="B21" s="2"/>
      <c r="C21" s="25"/>
      <c r="D21" s="1"/>
      <c r="E21" s="32"/>
      <c r="F21" s="32">
        <f t="shared" si="0"/>
        <v>0</v>
      </c>
      <c r="G21" s="30"/>
      <c r="H21" s="32"/>
      <c r="I21" s="32">
        <f t="shared" si="1"/>
        <v>0</v>
      </c>
      <c r="J21" s="32"/>
      <c r="K21" s="31"/>
    </row>
    <row r="22" spans="1:11">
      <c r="A22" s="4"/>
      <c r="B22" s="2"/>
      <c r="C22" s="23"/>
      <c r="D22" s="1"/>
      <c r="E22" s="32"/>
      <c r="F22" s="32">
        <f t="shared" si="0"/>
        <v>0</v>
      </c>
      <c r="G22" s="30"/>
      <c r="H22" s="32"/>
      <c r="I22" s="32">
        <f t="shared" si="1"/>
        <v>0</v>
      </c>
      <c r="J22" s="32"/>
      <c r="K22" s="31"/>
    </row>
    <row r="23" spans="1:11">
      <c r="A23" s="4"/>
      <c r="B23" s="2"/>
      <c r="C23" s="23"/>
      <c r="D23" s="1"/>
      <c r="E23" s="32"/>
      <c r="F23" s="32">
        <f t="shared" si="0"/>
        <v>0</v>
      </c>
      <c r="G23" s="30"/>
      <c r="H23" s="32"/>
      <c r="I23" s="32">
        <f t="shared" si="1"/>
        <v>0</v>
      </c>
      <c r="J23" s="32"/>
      <c r="K23" s="31"/>
    </row>
    <row r="24" spans="1:11">
      <c r="A24" s="4"/>
      <c r="B24" s="2"/>
      <c r="C24" s="23"/>
      <c r="D24" s="1"/>
      <c r="E24" s="32"/>
      <c r="F24" s="32">
        <f t="shared" si="0"/>
        <v>0</v>
      </c>
      <c r="G24" s="30"/>
      <c r="H24" s="32"/>
      <c r="I24" s="32">
        <f t="shared" si="1"/>
        <v>0</v>
      </c>
      <c r="J24" s="32"/>
      <c r="K24" s="31"/>
    </row>
    <row r="25" spans="1:11">
      <c r="A25" s="4"/>
      <c r="B25" s="2"/>
      <c r="C25" s="23"/>
      <c r="D25" s="1"/>
      <c r="E25" s="32"/>
      <c r="F25" s="32">
        <f t="shared" si="0"/>
        <v>0</v>
      </c>
      <c r="G25" s="30"/>
      <c r="H25" s="32"/>
      <c r="I25" s="32">
        <f t="shared" si="1"/>
        <v>0</v>
      </c>
      <c r="J25" s="32"/>
      <c r="K25" s="31"/>
    </row>
    <row r="26" spans="1:11">
      <c r="A26" s="4"/>
      <c r="B26" s="2"/>
      <c r="C26" s="23"/>
      <c r="D26" s="1"/>
      <c r="E26" s="32"/>
      <c r="F26" s="32">
        <f t="shared" si="0"/>
        <v>0</v>
      </c>
      <c r="G26" s="30"/>
      <c r="H26" s="32"/>
      <c r="I26" s="32">
        <f t="shared" si="1"/>
        <v>0</v>
      </c>
      <c r="J26" s="32"/>
      <c r="K26" s="31"/>
    </row>
    <row r="27" spans="1:11">
      <c r="A27" s="4"/>
      <c r="B27" s="2"/>
      <c r="C27" s="23"/>
      <c r="D27" s="1"/>
      <c r="E27" s="32"/>
      <c r="F27" s="32">
        <f t="shared" si="0"/>
        <v>0</v>
      </c>
      <c r="G27" s="30"/>
      <c r="H27" s="32"/>
      <c r="I27" s="32">
        <f t="shared" si="1"/>
        <v>0</v>
      </c>
      <c r="J27" s="32"/>
      <c r="K27" s="31"/>
    </row>
    <row r="28" spans="1:11">
      <c r="A28" s="4"/>
      <c r="B28" s="2"/>
      <c r="C28" s="23"/>
      <c r="D28" s="1"/>
      <c r="E28" s="32"/>
      <c r="F28" s="32">
        <f t="shared" si="0"/>
        <v>0</v>
      </c>
      <c r="G28" s="30"/>
      <c r="H28" s="32"/>
      <c r="I28" s="32">
        <f t="shared" si="1"/>
        <v>0</v>
      </c>
      <c r="J28" s="32"/>
      <c r="K28" s="31"/>
    </row>
    <row r="29" spans="1:11">
      <c r="A29" s="4"/>
      <c r="B29" s="2"/>
      <c r="C29" s="23"/>
      <c r="D29" s="1"/>
      <c r="E29" s="32"/>
      <c r="F29" s="32">
        <f t="shared" si="0"/>
        <v>0</v>
      </c>
      <c r="G29" s="30"/>
      <c r="H29" s="32"/>
      <c r="I29" s="32">
        <f t="shared" si="1"/>
        <v>0</v>
      </c>
      <c r="J29" s="32"/>
      <c r="K29" s="31"/>
    </row>
    <row r="30" spans="1:11">
      <c r="A30" s="4"/>
      <c r="B30" s="2"/>
      <c r="C30" s="23"/>
      <c r="D30" s="1"/>
      <c r="E30" s="32"/>
      <c r="F30" s="32">
        <f t="shared" si="0"/>
        <v>0</v>
      </c>
      <c r="G30" s="30"/>
      <c r="H30" s="32"/>
      <c r="I30" s="32">
        <f t="shared" si="1"/>
        <v>0</v>
      </c>
      <c r="J30" s="32"/>
      <c r="K30" s="31"/>
    </row>
    <row r="31" spans="1:11">
      <c r="A31" s="4"/>
      <c r="B31" s="2"/>
      <c r="C31" s="23"/>
      <c r="D31" s="1"/>
      <c r="E31" s="32"/>
      <c r="F31" s="32">
        <f t="shared" si="0"/>
        <v>0</v>
      </c>
      <c r="G31" s="30"/>
      <c r="H31" s="32"/>
      <c r="I31" s="32">
        <f t="shared" si="1"/>
        <v>0</v>
      </c>
      <c r="J31" s="32"/>
      <c r="K31" s="31"/>
    </row>
    <row r="32" spans="1:11">
      <c r="A32" s="4"/>
      <c r="B32" s="2"/>
      <c r="C32" s="23"/>
      <c r="D32" s="1"/>
      <c r="E32" s="32"/>
      <c r="F32" s="32">
        <f t="shared" si="0"/>
        <v>0</v>
      </c>
      <c r="G32" s="30"/>
      <c r="H32" s="32"/>
      <c r="I32" s="32">
        <f t="shared" si="1"/>
        <v>0</v>
      </c>
      <c r="J32" s="32"/>
      <c r="K32" s="31"/>
    </row>
    <row r="33" spans="1:11">
      <c r="A33" s="4"/>
      <c r="B33" s="2"/>
      <c r="C33" s="23"/>
      <c r="D33" s="1"/>
      <c r="E33" s="32"/>
      <c r="F33" s="32">
        <f t="shared" si="0"/>
        <v>0</v>
      </c>
      <c r="G33" s="30"/>
      <c r="H33" s="32"/>
      <c r="I33" s="32">
        <f t="shared" si="1"/>
        <v>0</v>
      </c>
      <c r="J33" s="32"/>
      <c r="K33" s="31"/>
    </row>
    <row r="34" spans="1:11">
      <c r="A34" s="4"/>
      <c r="B34" s="2"/>
      <c r="C34" s="23"/>
      <c r="D34" s="1"/>
      <c r="E34" s="32"/>
      <c r="F34" s="32">
        <f t="shared" si="0"/>
        <v>0</v>
      </c>
      <c r="G34" s="30"/>
      <c r="H34" s="32"/>
      <c r="I34" s="32">
        <f t="shared" si="1"/>
        <v>0</v>
      </c>
      <c r="J34" s="32"/>
      <c r="K34" s="31"/>
    </row>
    <row r="35" spans="1:11">
      <c r="A35" s="4"/>
      <c r="B35" s="2"/>
      <c r="C35" s="23"/>
      <c r="D35" s="1"/>
      <c r="E35" s="32"/>
      <c r="F35" s="32">
        <f t="shared" si="0"/>
        <v>0</v>
      </c>
      <c r="G35" s="30"/>
      <c r="H35" s="32"/>
      <c r="I35" s="32">
        <f t="shared" si="1"/>
        <v>0</v>
      </c>
      <c r="J35" s="32"/>
      <c r="K35" s="31"/>
    </row>
    <row r="36" spans="1:11">
      <c r="A36" s="4"/>
      <c r="B36" s="2"/>
      <c r="C36" s="23"/>
      <c r="D36" s="1"/>
      <c r="E36" s="32"/>
      <c r="F36" s="32">
        <f t="shared" si="0"/>
        <v>0</v>
      </c>
      <c r="G36" s="30"/>
      <c r="H36" s="32"/>
      <c r="I36" s="32">
        <f t="shared" si="1"/>
        <v>0</v>
      </c>
      <c r="J36" s="32"/>
      <c r="K36" s="31"/>
    </row>
    <row r="37" spans="1:11">
      <c r="A37" s="4"/>
      <c r="B37" s="2"/>
      <c r="C37" s="23"/>
      <c r="D37" s="1"/>
      <c r="E37" s="32"/>
      <c r="F37" s="32">
        <f t="shared" si="0"/>
        <v>0</v>
      </c>
      <c r="G37" s="30"/>
      <c r="H37" s="32"/>
      <c r="I37" s="32">
        <f t="shared" si="1"/>
        <v>0</v>
      </c>
      <c r="J37" s="32"/>
      <c r="K37" s="31"/>
    </row>
    <row r="38" spans="1:11">
      <c r="A38" s="4"/>
      <c r="B38" s="2"/>
      <c r="C38" s="23"/>
      <c r="D38" s="1"/>
      <c r="E38" s="32"/>
      <c r="F38" s="32">
        <f t="shared" si="0"/>
        <v>0</v>
      </c>
      <c r="G38" s="30"/>
      <c r="H38" s="32"/>
      <c r="I38" s="32">
        <f t="shared" si="1"/>
        <v>0</v>
      </c>
      <c r="J38" s="32"/>
      <c r="K38" s="31"/>
    </row>
    <row r="39" spans="1:11">
      <c r="A39" s="4"/>
      <c r="B39" s="2"/>
      <c r="C39" s="23"/>
      <c r="D39" s="1"/>
      <c r="E39" s="32"/>
      <c r="F39" s="32">
        <f t="shared" si="0"/>
        <v>0</v>
      </c>
      <c r="G39" s="30"/>
      <c r="H39" s="32"/>
      <c r="I39" s="32">
        <f t="shared" si="1"/>
        <v>0</v>
      </c>
      <c r="J39" s="32"/>
      <c r="K39" s="31"/>
    </row>
    <row r="40" spans="1:11">
      <c r="A40" s="4"/>
      <c r="B40" s="2"/>
      <c r="C40" s="23"/>
      <c r="D40" s="1"/>
      <c r="E40" s="32"/>
      <c r="F40" s="32">
        <f t="shared" si="0"/>
        <v>0</v>
      </c>
      <c r="G40" s="30"/>
      <c r="H40" s="32"/>
      <c r="I40" s="32">
        <f t="shared" si="1"/>
        <v>0</v>
      </c>
      <c r="J40" s="32"/>
      <c r="K40" s="31"/>
    </row>
    <row r="41" spans="1:11">
      <c r="A41" s="4"/>
      <c r="B41" s="2"/>
      <c r="C41" s="23"/>
      <c r="D41" s="1"/>
      <c r="E41" s="32"/>
      <c r="F41" s="32">
        <f t="shared" si="0"/>
        <v>0</v>
      </c>
      <c r="G41" s="30"/>
      <c r="H41" s="32"/>
      <c r="I41" s="32">
        <f t="shared" si="1"/>
        <v>0</v>
      </c>
      <c r="J41" s="32"/>
      <c r="K41" s="31"/>
    </row>
    <row r="42" spans="1:11">
      <c r="A42" s="4"/>
      <c r="B42" s="2"/>
      <c r="C42" s="23"/>
      <c r="D42" s="1"/>
      <c r="E42" s="32"/>
      <c r="F42" s="32">
        <f t="shared" si="0"/>
        <v>0</v>
      </c>
      <c r="G42" s="30"/>
      <c r="H42" s="32"/>
      <c r="I42" s="32">
        <f t="shared" si="1"/>
        <v>0</v>
      </c>
      <c r="J42" s="32"/>
      <c r="K42" s="31"/>
    </row>
    <row r="43" spans="1:11">
      <c r="A43" s="4"/>
      <c r="B43" s="2"/>
      <c r="C43" s="23"/>
      <c r="D43" s="1"/>
      <c r="E43" s="32"/>
      <c r="F43" s="32">
        <f>D43*E43</f>
        <v>0</v>
      </c>
      <c r="G43" s="30"/>
      <c r="H43" s="32"/>
      <c r="I43" s="32">
        <f>I42+F43-H43</f>
        <v>0</v>
      </c>
      <c r="J43" s="32"/>
      <c r="K43" s="31"/>
    </row>
    <row r="44" spans="1:11">
      <c r="A44" s="4"/>
      <c r="B44" s="2"/>
      <c r="C44" s="23"/>
      <c r="D44" s="1"/>
      <c r="E44" s="32"/>
      <c r="F44" s="32">
        <f>D44*E44</f>
        <v>0</v>
      </c>
      <c r="G44" s="30"/>
      <c r="H44" s="32"/>
      <c r="I44" s="32">
        <f>I43+F44-H44</f>
        <v>0</v>
      </c>
      <c r="J44" s="32"/>
      <c r="K44" s="31"/>
    </row>
    <row r="45" spans="1:11">
      <c r="A45" s="4"/>
      <c r="B45" s="2"/>
      <c r="C45" s="23"/>
      <c r="D45" s="1"/>
      <c r="E45" s="32"/>
      <c r="F45" s="32">
        <f>D45*E45</f>
        <v>0</v>
      </c>
      <c r="G45" s="30"/>
      <c r="H45" s="32"/>
      <c r="I45" s="32">
        <f>I44+F45-H45</f>
        <v>0</v>
      </c>
      <c r="J45" s="32"/>
      <c r="K45" s="31"/>
    </row>
    <row r="46" spans="1:11">
      <c r="A46" s="4"/>
      <c r="B46" s="2"/>
      <c r="C46" s="23"/>
      <c r="D46" s="1"/>
      <c r="E46" s="32"/>
      <c r="F46" s="32">
        <f t="shared" si="0"/>
        <v>0</v>
      </c>
      <c r="G46" s="30"/>
      <c r="H46" s="32"/>
      <c r="I46" s="32">
        <f>I45+F46-H46</f>
        <v>0</v>
      </c>
      <c r="J46" s="32"/>
      <c r="K46" s="31"/>
    </row>
    <row r="47" spans="1:11">
      <c r="A47" s="8"/>
      <c r="B47" s="9"/>
      <c r="C47" s="28"/>
      <c r="D47" s="10"/>
      <c r="E47" s="37"/>
      <c r="F47" s="37">
        <f t="shared" si="0"/>
        <v>0</v>
      </c>
      <c r="G47" s="30"/>
      <c r="H47" s="37"/>
      <c r="I47" s="37">
        <f t="shared" si="1"/>
        <v>0</v>
      </c>
      <c r="J47" s="37"/>
      <c r="K47" s="38"/>
    </row>
    <row r="48" spans="1:11">
      <c r="A48" s="16" t="s">
        <v>86</v>
      </c>
      <c r="B48" s="9"/>
      <c r="C48" s="9"/>
      <c r="D48" s="9"/>
      <c r="E48" s="42"/>
      <c r="F48" s="42">
        <f>SUBTOTAL(109,テーブル13121314151617181920212223242728293031323334353637383940414243444546474849[仕入金額])</f>
        <v>522060</v>
      </c>
      <c r="G48" s="42"/>
      <c r="H48" s="42">
        <f>SUBTOTAL(109,テーブル13121314151617181920212223242728293031323334353637383940414243444546474849[支払金額])</f>
        <v>522060</v>
      </c>
      <c r="I48" s="42">
        <f>テーブル13121314151617181920212223242728293031323334353637383940414243444546474849[[#Totals],[仕入金額]]-テーブル13121314151617181920212223242728293031323334353637383940414243444546474849[[#Totals],[支払金額]]</f>
        <v>0</v>
      </c>
      <c r="J48" s="42"/>
      <c r="K48" s="43"/>
    </row>
  </sheetData>
  <phoneticPr fontId="1"/>
  <dataValidations count="4">
    <dataValidation type="list" allowBlank="1" showInputMessage="1" showErrorMessage="1" sqref="G49:G61" xr:uid="{C82FA9C2-40FF-4724-AE9C-A38C384F8979}">
      <formula1>",合銀1,合銀,島銀,振込手数,    "</formula1>
    </dataValidation>
    <dataValidation type="list" allowBlank="1" showInputMessage="1" showErrorMessage="1" sqref="G2:G47" xr:uid="{BE6F1DEE-99E0-4624-829F-8BB3AAE36347}">
      <formula1>",合銀1,合銀,島銀,現金,振込手数,値引"</formula1>
    </dataValidation>
    <dataValidation type="list" allowBlank="1" showInputMessage="1" showErrorMessage="1" sqref="B2:B47" xr:uid="{13A3DDC5-01FA-4272-9729-71A1D019DC38}">
      <formula1>"田原,田中,高木,勝田,森山,市村,金築,その他"</formula1>
    </dataValidation>
    <dataValidation type="list" allowBlank="1" showInputMessage="1" showErrorMessage="1" sqref="J2:K47" xr:uid="{7244A947-F527-490E-92A3-B9F1B3B42FC0}">
      <formula1>"  ,済"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headerFooter>
    <oddHeader>&amp;Cその他（経費）</oddHeader>
  </headerFooter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868F4-E7C1-4609-91B6-18652C0BC9C6}">
  <sheetPr codeName="Sheet52"/>
  <dimension ref="A1:K48"/>
  <sheetViews>
    <sheetView workbookViewId="0">
      <pane ySplit="1" topLeftCell="A35" activePane="bottomLeft" state="frozen"/>
      <selection pane="bottomLeft" activeCell="E2" sqref="E2:K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/>
      <c r="D2" s="2"/>
      <c r="E2" s="2"/>
      <c r="F2" s="2">
        <f>D2*E2</f>
        <v>0</v>
      </c>
      <c r="G2" s="2"/>
      <c r="H2" s="2"/>
      <c r="I2" s="2">
        <f>F2-H2</f>
        <v>0</v>
      </c>
      <c r="J2" s="2"/>
      <c r="K2" s="5"/>
    </row>
    <row r="3" spans="1:11">
      <c r="A3" s="4"/>
      <c r="B3" s="2"/>
      <c r="C3" s="1"/>
      <c r="D3" s="1"/>
      <c r="E3" s="1"/>
      <c r="F3" s="1">
        <f t="shared" ref="F3:F47" si="0">D3*E3</f>
        <v>0</v>
      </c>
      <c r="G3" s="2"/>
      <c r="H3" s="1"/>
      <c r="I3" s="1">
        <f>I2+F3-H3</f>
        <v>0</v>
      </c>
      <c r="J3" s="1"/>
      <c r="K3" s="5"/>
    </row>
    <row r="4" spans="1:11">
      <c r="A4" s="4"/>
      <c r="B4" s="2"/>
      <c r="C4" s="1"/>
      <c r="D4" s="1"/>
      <c r="E4" s="1"/>
      <c r="F4" s="1">
        <f t="shared" si="0"/>
        <v>0</v>
      </c>
      <c r="G4" s="2"/>
      <c r="H4" s="1"/>
      <c r="I4" s="1">
        <f t="shared" ref="I4:I47" si="1">I3+F4-H4</f>
        <v>0</v>
      </c>
      <c r="J4" s="1"/>
      <c r="K4" s="5"/>
    </row>
    <row r="5" spans="1:11">
      <c r="A5" s="4"/>
      <c r="B5" s="2"/>
      <c r="C5" s="1"/>
      <c r="D5" s="1"/>
      <c r="E5" s="1"/>
      <c r="F5" s="1">
        <f t="shared" si="0"/>
        <v>0</v>
      </c>
      <c r="G5" s="2"/>
      <c r="H5" s="1"/>
      <c r="I5" s="1">
        <f t="shared" si="1"/>
        <v>0</v>
      </c>
      <c r="J5" s="1"/>
      <c r="K5" s="5"/>
    </row>
    <row r="6" spans="1:11">
      <c r="A6" s="4"/>
      <c r="B6" s="2"/>
      <c r="C6" s="1"/>
      <c r="D6" s="1"/>
      <c r="E6" s="1"/>
      <c r="F6" s="1">
        <f t="shared" si="0"/>
        <v>0</v>
      </c>
      <c r="G6" s="2"/>
      <c r="H6" s="1"/>
      <c r="I6" s="1">
        <f t="shared" si="1"/>
        <v>0</v>
      </c>
      <c r="J6" s="1"/>
      <c r="K6" s="5"/>
    </row>
    <row r="7" spans="1:11">
      <c r="A7" s="4"/>
      <c r="B7" s="2"/>
      <c r="C7" s="1"/>
      <c r="D7" s="1"/>
      <c r="E7" s="1"/>
      <c r="F7" s="1">
        <f t="shared" si="0"/>
        <v>0</v>
      </c>
      <c r="G7" s="2"/>
      <c r="H7" s="1"/>
      <c r="I7" s="1">
        <f t="shared" si="1"/>
        <v>0</v>
      </c>
      <c r="J7" s="1"/>
      <c r="K7" s="5"/>
    </row>
    <row r="8" spans="1:11">
      <c r="A8" s="4"/>
      <c r="B8" s="2"/>
      <c r="C8" s="1"/>
      <c r="D8" s="1"/>
      <c r="E8" s="1"/>
      <c r="F8" s="1">
        <f t="shared" si="0"/>
        <v>0</v>
      </c>
      <c r="G8" s="2"/>
      <c r="H8" s="1"/>
      <c r="I8" s="1">
        <f t="shared" si="1"/>
        <v>0</v>
      </c>
      <c r="J8" s="1"/>
      <c r="K8" s="5"/>
    </row>
    <row r="9" spans="1:11">
      <c r="A9" s="4"/>
      <c r="B9" s="2"/>
      <c r="C9" s="1"/>
      <c r="D9" s="1"/>
      <c r="E9" s="1"/>
      <c r="F9" s="1">
        <f t="shared" si="0"/>
        <v>0</v>
      </c>
      <c r="G9" s="2"/>
      <c r="H9" s="1"/>
      <c r="I9" s="1">
        <f t="shared" si="1"/>
        <v>0</v>
      </c>
      <c r="J9" s="1"/>
      <c r="K9" s="5"/>
    </row>
    <row r="10" spans="1:11">
      <c r="A10" s="4"/>
      <c r="B10" s="2"/>
      <c r="C10" s="1"/>
      <c r="D10" s="1"/>
      <c r="E10" s="1"/>
      <c r="F10" s="1">
        <f t="shared" si="0"/>
        <v>0</v>
      </c>
      <c r="G10" s="2"/>
      <c r="H10" s="1"/>
      <c r="I10" s="1">
        <f t="shared" si="1"/>
        <v>0</v>
      </c>
      <c r="J10" s="1"/>
      <c r="K10" s="5"/>
    </row>
    <row r="11" spans="1:11">
      <c r="A11" s="4"/>
      <c r="B11" s="2"/>
      <c r="C11" s="1"/>
      <c r="D11" s="1"/>
      <c r="E11" s="1"/>
      <c r="F11" s="1">
        <f t="shared" si="0"/>
        <v>0</v>
      </c>
      <c r="G11" s="2"/>
      <c r="H11" s="1"/>
      <c r="I11" s="1">
        <f t="shared" si="1"/>
        <v>0</v>
      </c>
      <c r="J11" s="1"/>
      <c r="K11" s="5"/>
    </row>
    <row r="12" spans="1:11">
      <c r="A12" s="4"/>
      <c r="B12" s="2"/>
      <c r="C12" s="1"/>
      <c r="D12" s="1"/>
      <c r="E12" s="1"/>
      <c r="F12" s="1">
        <f t="shared" si="0"/>
        <v>0</v>
      </c>
      <c r="G12" s="2"/>
      <c r="H12" s="1"/>
      <c r="I12" s="1">
        <f t="shared" si="1"/>
        <v>0</v>
      </c>
      <c r="J12" s="1"/>
      <c r="K12" s="5"/>
    </row>
    <row r="13" spans="1:11">
      <c r="A13" s="4"/>
      <c r="B13" s="2"/>
      <c r="C13" s="1"/>
      <c r="D13" s="1"/>
      <c r="E13" s="1"/>
      <c r="F13" s="1">
        <f t="shared" si="0"/>
        <v>0</v>
      </c>
      <c r="G13" s="2"/>
      <c r="H13" s="1"/>
      <c r="I13" s="1">
        <f t="shared" si="1"/>
        <v>0</v>
      </c>
      <c r="J13" s="1"/>
      <c r="K13" s="5"/>
    </row>
    <row r="14" spans="1:11">
      <c r="A14" s="4"/>
      <c r="B14" s="2"/>
      <c r="C14" s="1"/>
      <c r="D14" s="1"/>
      <c r="E14" s="1"/>
      <c r="F14" s="1">
        <f t="shared" si="0"/>
        <v>0</v>
      </c>
      <c r="G14" s="2"/>
      <c r="H14" s="1"/>
      <c r="I14" s="1">
        <f t="shared" si="1"/>
        <v>0</v>
      </c>
      <c r="J14" s="1"/>
      <c r="K14" s="5"/>
    </row>
    <row r="15" spans="1:11">
      <c r="A15" s="4"/>
      <c r="B15" s="2"/>
      <c r="C15" s="1"/>
      <c r="D15" s="1"/>
      <c r="E15" s="1"/>
      <c r="F15" s="1">
        <f t="shared" si="0"/>
        <v>0</v>
      </c>
      <c r="G15" s="2"/>
      <c r="H15" s="1"/>
      <c r="I15" s="1">
        <f t="shared" si="1"/>
        <v>0</v>
      </c>
      <c r="J15" s="1"/>
      <c r="K15" s="5"/>
    </row>
    <row r="16" spans="1:11">
      <c r="A16" s="4"/>
      <c r="B16" s="2"/>
      <c r="C16" s="1"/>
      <c r="D16" s="1"/>
      <c r="E16" s="1"/>
      <c r="F16" s="1">
        <f t="shared" si="0"/>
        <v>0</v>
      </c>
      <c r="G16" s="2"/>
      <c r="H16" s="1"/>
      <c r="I16" s="1">
        <f t="shared" si="1"/>
        <v>0</v>
      </c>
      <c r="J16" s="1"/>
      <c r="K16" s="5"/>
    </row>
    <row r="17" spans="1:11">
      <c r="A17" s="4"/>
      <c r="B17" s="2"/>
      <c r="C17" s="1"/>
      <c r="D17" s="1"/>
      <c r="E17" s="1"/>
      <c r="F17" s="1">
        <f t="shared" si="0"/>
        <v>0</v>
      </c>
      <c r="G17" s="2"/>
      <c r="H17" s="1"/>
      <c r="I17" s="1">
        <f t="shared" si="1"/>
        <v>0</v>
      </c>
      <c r="J17" s="1"/>
      <c r="K17" s="5"/>
    </row>
    <row r="18" spans="1:11">
      <c r="A18" s="4"/>
      <c r="B18" s="2"/>
      <c r="C18" s="1"/>
      <c r="D18" s="1"/>
      <c r="E18" s="1"/>
      <c r="F18" s="1">
        <f t="shared" si="0"/>
        <v>0</v>
      </c>
      <c r="G18" s="2"/>
      <c r="H18" s="1"/>
      <c r="I18" s="1">
        <f t="shared" si="1"/>
        <v>0</v>
      </c>
      <c r="J18" s="1"/>
      <c r="K18" s="5"/>
    </row>
    <row r="19" spans="1:11">
      <c r="A19" s="4"/>
      <c r="B19" s="2"/>
      <c r="C19" s="1"/>
      <c r="D19" s="1"/>
      <c r="E19" s="1"/>
      <c r="F19" s="1">
        <f t="shared" si="0"/>
        <v>0</v>
      </c>
      <c r="G19" s="2"/>
      <c r="H19" s="1"/>
      <c r="I19" s="1">
        <f t="shared" si="1"/>
        <v>0</v>
      </c>
      <c r="J19" s="1"/>
      <c r="K19" s="5"/>
    </row>
    <row r="20" spans="1:11">
      <c r="A20" s="4"/>
      <c r="B20" s="2"/>
      <c r="C20" s="1"/>
      <c r="D20" s="1"/>
      <c r="E20" s="1"/>
      <c r="F20" s="1">
        <f t="shared" si="0"/>
        <v>0</v>
      </c>
      <c r="G20" s="2"/>
      <c r="H20" s="1"/>
      <c r="I20" s="1">
        <f t="shared" si="1"/>
        <v>0</v>
      </c>
      <c r="J20" s="1"/>
      <c r="K20" s="5"/>
    </row>
    <row r="21" spans="1:11">
      <c r="A21" s="4"/>
      <c r="B21" s="2"/>
      <c r="C21" s="1"/>
      <c r="D21" s="1"/>
      <c r="E21" s="1"/>
      <c r="F21" s="1">
        <f t="shared" si="0"/>
        <v>0</v>
      </c>
      <c r="G21" s="2"/>
      <c r="H21" s="1"/>
      <c r="I21" s="1">
        <f t="shared" si="1"/>
        <v>0</v>
      </c>
      <c r="J21" s="1"/>
      <c r="K21" s="5"/>
    </row>
    <row r="22" spans="1:11">
      <c r="A22" s="4"/>
      <c r="B22" s="2"/>
      <c r="C22" s="1"/>
      <c r="D22" s="1"/>
      <c r="E22" s="1"/>
      <c r="F22" s="1">
        <f t="shared" si="0"/>
        <v>0</v>
      </c>
      <c r="G22" s="2"/>
      <c r="H22" s="1"/>
      <c r="I22" s="1">
        <f t="shared" si="1"/>
        <v>0</v>
      </c>
      <c r="J22" s="1"/>
      <c r="K22" s="5"/>
    </row>
    <row r="23" spans="1:11">
      <c r="A23" s="4"/>
      <c r="B23" s="2"/>
      <c r="C23" s="1"/>
      <c r="D23" s="1"/>
      <c r="E23" s="1"/>
      <c r="F23" s="1">
        <f t="shared" si="0"/>
        <v>0</v>
      </c>
      <c r="G23" s="2"/>
      <c r="H23" s="1"/>
      <c r="I23" s="1">
        <f t="shared" si="1"/>
        <v>0</v>
      </c>
      <c r="J23" s="1"/>
      <c r="K23" s="5"/>
    </row>
    <row r="24" spans="1:11">
      <c r="A24" s="4"/>
      <c r="B24" s="2"/>
      <c r="C24" s="1"/>
      <c r="D24" s="1"/>
      <c r="E24" s="1"/>
      <c r="F24" s="1">
        <f t="shared" si="0"/>
        <v>0</v>
      </c>
      <c r="G24" s="2"/>
      <c r="H24" s="1"/>
      <c r="I24" s="1">
        <f t="shared" si="1"/>
        <v>0</v>
      </c>
      <c r="J24" s="1"/>
      <c r="K24" s="5"/>
    </row>
    <row r="25" spans="1:11">
      <c r="A25" s="4"/>
      <c r="B25" s="2"/>
      <c r="C25" s="1"/>
      <c r="D25" s="1"/>
      <c r="E25" s="1"/>
      <c r="F25" s="1">
        <f t="shared" si="0"/>
        <v>0</v>
      </c>
      <c r="G25" s="2"/>
      <c r="H25" s="1"/>
      <c r="I25" s="1">
        <f t="shared" si="1"/>
        <v>0</v>
      </c>
      <c r="J25" s="1"/>
      <c r="K25" s="5"/>
    </row>
    <row r="26" spans="1:11">
      <c r="A26" s="4"/>
      <c r="B26" s="2"/>
      <c r="C26" s="1"/>
      <c r="D26" s="1"/>
      <c r="E26" s="1"/>
      <c r="F26" s="1">
        <f t="shared" si="0"/>
        <v>0</v>
      </c>
      <c r="G26" s="2"/>
      <c r="H26" s="1"/>
      <c r="I26" s="1">
        <f t="shared" si="1"/>
        <v>0</v>
      </c>
      <c r="J26" s="1"/>
      <c r="K26" s="5"/>
    </row>
    <row r="27" spans="1:11">
      <c r="A27" s="4"/>
      <c r="B27" s="2"/>
      <c r="C27" s="1"/>
      <c r="D27" s="1"/>
      <c r="E27" s="1"/>
      <c r="F27" s="1">
        <f t="shared" si="0"/>
        <v>0</v>
      </c>
      <c r="G27" s="2"/>
      <c r="H27" s="1"/>
      <c r="I27" s="1">
        <f t="shared" si="1"/>
        <v>0</v>
      </c>
      <c r="J27" s="1"/>
      <c r="K27" s="5"/>
    </row>
    <row r="28" spans="1:11">
      <c r="A28" s="4"/>
      <c r="B28" s="2"/>
      <c r="C28" s="1"/>
      <c r="D28" s="1"/>
      <c r="E28" s="1"/>
      <c r="F28" s="1">
        <f t="shared" si="0"/>
        <v>0</v>
      </c>
      <c r="G28" s="2"/>
      <c r="H28" s="1"/>
      <c r="I28" s="1">
        <f t="shared" si="1"/>
        <v>0</v>
      </c>
      <c r="J28" s="1"/>
      <c r="K28" s="5"/>
    </row>
    <row r="29" spans="1:11">
      <c r="A29" s="4"/>
      <c r="B29" s="2"/>
      <c r="C29" s="1"/>
      <c r="D29" s="1"/>
      <c r="E29" s="1"/>
      <c r="F29" s="1">
        <f t="shared" si="0"/>
        <v>0</v>
      </c>
      <c r="G29" s="2"/>
      <c r="H29" s="1"/>
      <c r="I29" s="1">
        <f t="shared" si="1"/>
        <v>0</v>
      </c>
      <c r="J29" s="1"/>
      <c r="K29" s="5"/>
    </row>
    <row r="30" spans="1:11">
      <c r="A30" s="4"/>
      <c r="B30" s="2"/>
      <c r="C30" s="1"/>
      <c r="D30" s="1"/>
      <c r="E30" s="1"/>
      <c r="F30" s="1">
        <f t="shared" si="0"/>
        <v>0</v>
      </c>
      <c r="G30" s="2"/>
      <c r="H30" s="1"/>
      <c r="I30" s="1">
        <f t="shared" si="1"/>
        <v>0</v>
      </c>
      <c r="J30" s="1"/>
      <c r="K30" s="5"/>
    </row>
    <row r="31" spans="1:11">
      <c r="A31" s="4"/>
      <c r="B31" s="2"/>
      <c r="C31" s="1"/>
      <c r="D31" s="1"/>
      <c r="E31" s="1"/>
      <c r="F31" s="1">
        <f t="shared" si="0"/>
        <v>0</v>
      </c>
      <c r="G31" s="2"/>
      <c r="H31" s="1"/>
      <c r="I31" s="1">
        <f t="shared" si="1"/>
        <v>0</v>
      </c>
      <c r="J31" s="1"/>
      <c r="K31" s="5"/>
    </row>
    <row r="32" spans="1:11">
      <c r="A32" s="4"/>
      <c r="B32" s="2"/>
      <c r="C32" s="1"/>
      <c r="D32" s="1"/>
      <c r="E32" s="1"/>
      <c r="F32" s="1">
        <f t="shared" si="0"/>
        <v>0</v>
      </c>
      <c r="G32" s="2"/>
      <c r="H32" s="1"/>
      <c r="I32" s="1">
        <f t="shared" si="1"/>
        <v>0</v>
      </c>
      <c r="J32" s="1"/>
      <c r="K32" s="5"/>
    </row>
    <row r="33" spans="1:11">
      <c r="A33" s="4"/>
      <c r="B33" s="2"/>
      <c r="C33" s="1"/>
      <c r="D33" s="1"/>
      <c r="E33" s="1"/>
      <c r="F33" s="1">
        <f t="shared" si="0"/>
        <v>0</v>
      </c>
      <c r="G33" s="2"/>
      <c r="H33" s="1"/>
      <c r="I33" s="1">
        <f t="shared" si="1"/>
        <v>0</v>
      </c>
      <c r="J33" s="1"/>
      <c r="K33" s="5"/>
    </row>
    <row r="34" spans="1:11">
      <c r="A34" s="4"/>
      <c r="B34" s="2"/>
      <c r="C34" s="1"/>
      <c r="D34" s="1"/>
      <c r="E34" s="1"/>
      <c r="F34" s="1">
        <f t="shared" si="0"/>
        <v>0</v>
      </c>
      <c r="G34" s="2"/>
      <c r="H34" s="1"/>
      <c r="I34" s="1">
        <f t="shared" si="1"/>
        <v>0</v>
      </c>
      <c r="J34" s="1"/>
      <c r="K34" s="5"/>
    </row>
    <row r="35" spans="1:11">
      <c r="A35" s="4"/>
      <c r="B35" s="2"/>
      <c r="C35" s="1"/>
      <c r="D35" s="1"/>
      <c r="E35" s="1"/>
      <c r="F35" s="1">
        <f t="shared" si="0"/>
        <v>0</v>
      </c>
      <c r="G35" s="2"/>
      <c r="H35" s="1"/>
      <c r="I35" s="1">
        <f t="shared" si="1"/>
        <v>0</v>
      </c>
      <c r="J35" s="1"/>
      <c r="K35" s="5"/>
    </row>
    <row r="36" spans="1:11">
      <c r="A36" s="4"/>
      <c r="B36" s="2"/>
      <c r="C36" s="1"/>
      <c r="D36" s="1"/>
      <c r="E36" s="1"/>
      <c r="F36" s="1">
        <f t="shared" si="0"/>
        <v>0</v>
      </c>
      <c r="G36" s="2"/>
      <c r="H36" s="1"/>
      <c r="I36" s="1">
        <f t="shared" si="1"/>
        <v>0</v>
      </c>
      <c r="J36" s="1"/>
      <c r="K36" s="5"/>
    </row>
    <row r="37" spans="1:11">
      <c r="A37" s="4"/>
      <c r="B37" s="2"/>
      <c r="C37" s="1"/>
      <c r="D37" s="1"/>
      <c r="E37" s="1"/>
      <c r="F37" s="1">
        <f t="shared" si="0"/>
        <v>0</v>
      </c>
      <c r="G37" s="2"/>
      <c r="H37" s="1"/>
      <c r="I37" s="1">
        <f t="shared" si="1"/>
        <v>0</v>
      </c>
      <c r="J37" s="1"/>
      <c r="K37" s="5"/>
    </row>
    <row r="38" spans="1:11">
      <c r="A38" s="4"/>
      <c r="B38" s="2"/>
      <c r="C38" s="1"/>
      <c r="D38" s="1"/>
      <c r="E38" s="1"/>
      <c r="F38" s="1">
        <f t="shared" si="0"/>
        <v>0</v>
      </c>
      <c r="G38" s="2"/>
      <c r="H38" s="1"/>
      <c r="I38" s="1">
        <f t="shared" si="1"/>
        <v>0</v>
      </c>
      <c r="J38" s="1"/>
      <c r="K38" s="5"/>
    </row>
    <row r="39" spans="1:11">
      <c r="A39" s="4"/>
      <c r="B39" s="2"/>
      <c r="C39" s="1"/>
      <c r="D39" s="1"/>
      <c r="E39" s="1"/>
      <c r="F39" s="1">
        <f t="shared" si="0"/>
        <v>0</v>
      </c>
      <c r="G39" s="2"/>
      <c r="H39" s="1"/>
      <c r="I39" s="1">
        <f t="shared" si="1"/>
        <v>0</v>
      </c>
      <c r="J39" s="1"/>
      <c r="K39" s="5"/>
    </row>
    <row r="40" spans="1:11">
      <c r="A40" s="4"/>
      <c r="B40" s="2"/>
      <c r="C40" s="1"/>
      <c r="D40" s="1"/>
      <c r="E40" s="1"/>
      <c r="F40" s="1">
        <f t="shared" si="0"/>
        <v>0</v>
      </c>
      <c r="G40" s="2"/>
      <c r="H40" s="1"/>
      <c r="I40" s="1">
        <f t="shared" si="1"/>
        <v>0</v>
      </c>
      <c r="J40" s="1"/>
      <c r="K40" s="5"/>
    </row>
    <row r="41" spans="1:11">
      <c r="A41" s="4"/>
      <c r="B41" s="2"/>
      <c r="C41" s="1"/>
      <c r="D41" s="1"/>
      <c r="E41" s="1"/>
      <c r="F41" s="1">
        <f t="shared" si="0"/>
        <v>0</v>
      </c>
      <c r="G41" s="2"/>
      <c r="H41" s="1"/>
      <c r="I41" s="1">
        <f t="shared" si="1"/>
        <v>0</v>
      </c>
      <c r="J41" s="1"/>
      <c r="K41" s="5"/>
    </row>
    <row r="42" spans="1:11">
      <c r="A42" s="4"/>
      <c r="B42" s="2"/>
      <c r="C42" s="1"/>
      <c r="D42" s="1"/>
      <c r="E42" s="1"/>
      <c r="F42" s="1">
        <f t="shared" si="0"/>
        <v>0</v>
      </c>
      <c r="G42" s="2"/>
      <c r="H42" s="1"/>
      <c r="I42" s="1">
        <f t="shared" si="1"/>
        <v>0</v>
      </c>
      <c r="J42" s="1"/>
      <c r="K42" s="5"/>
    </row>
    <row r="43" spans="1:11">
      <c r="A43" s="4"/>
      <c r="B43" s="2"/>
      <c r="C43" s="1"/>
      <c r="D43" s="1"/>
      <c r="E43" s="1"/>
      <c r="F43" s="1">
        <f>D43*E43</f>
        <v>0</v>
      </c>
      <c r="G43" s="2"/>
      <c r="H43" s="1"/>
      <c r="I43" s="1">
        <f>I42+F43-H43</f>
        <v>0</v>
      </c>
      <c r="J43" s="1"/>
      <c r="K43" s="5"/>
    </row>
    <row r="44" spans="1:11">
      <c r="A44" s="4"/>
      <c r="B44" s="2"/>
      <c r="C44" s="1"/>
      <c r="D44" s="1"/>
      <c r="E44" s="1"/>
      <c r="F44" s="1">
        <f>D44*E44</f>
        <v>0</v>
      </c>
      <c r="G44" s="2"/>
      <c r="H44" s="1"/>
      <c r="I44" s="1">
        <f>I43+F44-H44</f>
        <v>0</v>
      </c>
      <c r="J44" s="1"/>
      <c r="K44" s="5"/>
    </row>
    <row r="45" spans="1:11">
      <c r="A45" s="4"/>
      <c r="B45" s="2"/>
      <c r="C45" s="1"/>
      <c r="D45" s="1"/>
      <c r="E45" s="1"/>
      <c r="F45" s="1">
        <f>D45*E45</f>
        <v>0</v>
      </c>
      <c r="G45" s="2"/>
      <c r="H45" s="1"/>
      <c r="I45" s="1">
        <f>I44+F45-H45</f>
        <v>0</v>
      </c>
      <c r="J45" s="1"/>
      <c r="K45" s="5"/>
    </row>
    <row r="46" spans="1:11">
      <c r="A46" s="4"/>
      <c r="B46" s="2"/>
      <c r="C46" s="1"/>
      <c r="D46" s="1"/>
      <c r="E46" s="1"/>
      <c r="F46" s="1">
        <f t="shared" si="0"/>
        <v>0</v>
      </c>
      <c r="G46" s="2"/>
      <c r="H46" s="1"/>
      <c r="I46" s="1">
        <f>I45+F46-H46</f>
        <v>0</v>
      </c>
      <c r="J46" s="1"/>
      <c r="K46" s="5"/>
    </row>
    <row r="47" spans="1:11">
      <c r="A47" s="8"/>
      <c r="B47" s="9"/>
      <c r="C47" s="10"/>
      <c r="D47" s="10"/>
      <c r="E47" s="10"/>
      <c r="F47" s="10">
        <f t="shared" si="0"/>
        <v>0</v>
      </c>
      <c r="G47" s="2"/>
      <c r="H47" s="10"/>
      <c r="I47" s="10">
        <f t="shared" si="1"/>
        <v>0</v>
      </c>
      <c r="J47" s="10"/>
      <c r="K47" s="11"/>
    </row>
    <row r="48" spans="1:11">
      <c r="A48" s="16" t="s">
        <v>86</v>
      </c>
      <c r="B48" s="9"/>
      <c r="C48" s="9"/>
      <c r="D48" s="9"/>
      <c r="E48" s="9"/>
      <c r="F48" s="9">
        <f>SUBTOTAL(109,テーブル1312131415161718192021222324272829303132333435363738394041424344454647484950[仕入金額])</f>
        <v>0</v>
      </c>
      <c r="G48" s="9"/>
      <c r="H48" s="9">
        <f>SUBTOTAL(109,テーブル1312131415161718192021222324272829303132333435363738394041424344454647484950[支払金額])</f>
        <v>0</v>
      </c>
      <c r="I48" s="9">
        <f>テーブル1312131415161718192021222324272829303132333435363738394041424344454647484950[[#Totals],[仕入金額]]-テーブル1312131415161718192021222324272829303132333435363738394041424344454647484950[[#Totals],[支払金額]]</f>
        <v>0</v>
      </c>
      <c r="J48" s="9"/>
      <c r="K48" s="17"/>
    </row>
  </sheetData>
  <phoneticPr fontId="1"/>
  <dataValidations count="4">
    <dataValidation type="list" allowBlank="1" showInputMessage="1" showErrorMessage="1" sqref="G49:G61" xr:uid="{6353796E-85B8-40E5-9743-7582E1FB08D7}">
      <formula1>",合銀1,合銀,島銀,振込手数,    "</formula1>
    </dataValidation>
    <dataValidation type="list" allowBlank="1" showInputMessage="1" showErrorMessage="1" sqref="J2:K47" xr:uid="{EB3752D0-840E-4190-AC21-EEF784FA1693}">
      <formula1>"  ,済"</formula1>
    </dataValidation>
    <dataValidation type="list" allowBlank="1" showInputMessage="1" showErrorMessage="1" sqref="B2:B47" xr:uid="{3F06FF2D-EC82-497C-97C1-3D8D4D58007C}">
      <formula1>"田原,田中,高木,勝田,森山,市村,金築,その他"</formula1>
    </dataValidation>
    <dataValidation type="list" allowBlank="1" showInputMessage="1" showErrorMessage="1" sqref="G2:G47" xr:uid="{262589E7-9A78-4A49-A3F7-FEE9F1BFF615}">
      <formula1>",合銀1,合銀,島銀,現金,振込手数,値引"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B7422-6042-451C-8E59-290175D04EEA}">
  <sheetPr codeName="Sheet53"/>
  <dimension ref="A1:K48"/>
  <sheetViews>
    <sheetView workbookViewId="0">
      <pane ySplit="1" topLeftCell="A2" activePane="bottomLeft" state="frozen"/>
      <selection pane="bottomLeft" activeCell="E2" sqref="E2:K8"/>
      <selection activeCell="E2" sqref="E2:K8"/>
    </sheetView>
  </sheetViews>
  <sheetFormatPr defaultRowHeight="18.75"/>
  <cols>
    <col min="1" max="1" width="6.625" customWidth="1"/>
    <col min="2" max="2" width="8.375" customWidth="1"/>
    <col min="3" max="3" width="13.625" customWidth="1"/>
    <col min="4" max="4" width="6.5" customWidth="1"/>
    <col min="5" max="5" width="8.625" customWidth="1"/>
    <col min="6" max="6" width="12.625" customWidth="1"/>
    <col min="7" max="7" width="10.375" customWidth="1"/>
    <col min="8" max="8" width="12.625" customWidth="1"/>
    <col min="9" max="9" width="10.625" customWidth="1"/>
    <col min="10" max="11" width="6.625" customWidth="1"/>
  </cols>
  <sheetData>
    <row r="1" spans="1:11" ht="19.5" thickBot="1">
      <c r="A1" s="6" t="s">
        <v>75</v>
      </c>
      <c r="B1" s="15" t="s">
        <v>76</v>
      </c>
      <c r="C1" s="15" t="s">
        <v>77</v>
      </c>
      <c r="D1" s="15" t="s">
        <v>78</v>
      </c>
      <c r="E1" s="15" t="s">
        <v>79</v>
      </c>
      <c r="F1" s="15" t="s">
        <v>80</v>
      </c>
      <c r="G1" s="13" t="s">
        <v>81</v>
      </c>
      <c r="H1" s="13" t="s">
        <v>82</v>
      </c>
      <c r="I1" s="14" t="s">
        <v>83</v>
      </c>
      <c r="J1" s="12" t="s">
        <v>84</v>
      </c>
      <c r="K1" s="7" t="s">
        <v>85</v>
      </c>
    </row>
    <row r="2" spans="1:11">
      <c r="A2" s="3"/>
      <c r="B2" s="2"/>
      <c r="C2" s="2"/>
      <c r="D2" s="2"/>
      <c r="E2" s="2"/>
      <c r="F2" s="2">
        <f>D2*E2</f>
        <v>0</v>
      </c>
      <c r="G2" s="2"/>
      <c r="H2" s="2"/>
      <c r="I2" s="2">
        <f>F2-H2</f>
        <v>0</v>
      </c>
      <c r="J2" s="2"/>
      <c r="K2" s="5"/>
    </row>
    <row r="3" spans="1:11">
      <c r="A3" s="4"/>
      <c r="B3" s="2"/>
      <c r="C3" s="1"/>
      <c r="D3" s="1"/>
      <c r="E3" s="1"/>
      <c r="F3" s="1">
        <f t="shared" ref="F3:F47" si="0">D3*E3</f>
        <v>0</v>
      </c>
      <c r="G3" s="2"/>
      <c r="H3" s="1"/>
      <c r="I3" s="1">
        <f>I2+F3-H3</f>
        <v>0</v>
      </c>
      <c r="J3" s="1"/>
      <c r="K3" s="5"/>
    </row>
    <row r="4" spans="1:11">
      <c r="A4" s="4"/>
      <c r="B4" s="2"/>
      <c r="C4" s="1"/>
      <c r="D4" s="1"/>
      <c r="E4" s="1"/>
      <c r="F4" s="1">
        <f t="shared" si="0"/>
        <v>0</v>
      </c>
      <c r="G4" s="2"/>
      <c r="H4" s="1"/>
      <c r="I4" s="1">
        <f t="shared" ref="I4:I47" si="1">I3+F4-H4</f>
        <v>0</v>
      </c>
      <c r="J4" s="1"/>
      <c r="K4" s="5"/>
    </row>
    <row r="5" spans="1:11">
      <c r="A5" s="4"/>
      <c r="B5" s="2"/>
      <c r="C5" s="1"/>
      <c r="D5" s="1"/>
      <c r="E5" s="1"/>
      <c r="F5" s="1">
        <f t="shared" si="0"/>
        <v>0</v>
      </c>
      <c r="G5" s="2"/>
      <c r="H5" s="1"/>
      <c r="I5" s="1">
        <f t="shared" si="1"/>
        <v>0</v>
      </c>
      <c r="J5" s="1"/>
      <c r="K5" s="5"/>
    </row>
    <row r="6" spans="1:11">
      <c r="A6" s="4"/>
      <c r="B6" s="2"/>
      <c r="C6" s="1"/>
      <c r="D6" s="1"/>
      <c r="E6" s="1"/>
      <c r="F6" s="1">
        <f t="shared" si="0"/>
        <v>0</v>
      </c>
      <c r="G6" s="2"/>
      <c r="H6" s="1"/>
      <c r="I6" s="1">
        <f t="shared" si="1"/>
        <v>0</v>
      </c>
      <c r="J6" s="1"/>
      <c r="K6" s="5"/>
    </row>
    <row r="7" spans="1:11">
      <c r="A7" s="4"/>
      <c r="B7" s="2"/>
      <c r="C7" s="1"/>
      <c r="D7" s="1"/>
      <c r="E7" s="1"/>
      <c r="F7" s="1">
        <f t="shared" si="0"/>
        <v>0</v>
      </c>
      <c r="G7" s="2"/>
      <c r="H7" s="1"/>
      <c r="I7" s="1">
        <f t="shared" si="1"/>
        <v>0</v>
      </c>
      <c r="J7" s="1"/>
      <c r="K7" s="5"/>
    </row>
    <row r="8" spans="1:11">
      <c r="A8" s="4"/>
      <c r="B8" s="2"/>
      <c r="C8" s="1"/>
      <c r="D8" s="1"/>
      <c r="E8" s="1"/>
      <c r="F8" s="1">
        <f t="shared" si="0"/>
        <v>0</v>
      </c>
      <c r="G8" s="2"/>
      <c r="H8" s="1"/>
      <c r="I8" s="1">
        <f t="shared" si="1"/>
        <v>0</v>
      </c>
      <c r="J8" s="1"/>
      <c r="K8" s="5"/>
    </row>
    <row r="9" spans="1:11">
      <c r="A9" s="4"/>
      <c r="B9" s="2"/>
      <c r="C9" s="1"/>
      <c r="D9" s="1"/>
      <c r="E9" s="1"/>
      <c r="F9" s="1">
        <f t="shared" si="0"/>
        <v>0</v>
      </c>
      <c r="G9" s="2"/>
      <c r="H9" s="1"/>
      <c r="I9" s="1">
        <f t="shared" si="1"/>
        <v>0</v>
      </c>
      <c r="J9" s="1"/>
      <c r="K9" s="5"/>
    </row>
    <row r="10" spans="1:11">
      <c r="A10" s="4"/>
      <c r="B10" s="2"/>
      <c r="C10" s="1"/>
      <c r="D10" s="1"/>
      <c r="E10" s="1"/>
      <c r="F10" s="1">
        <f t="shared" si="0"/>
        <v>0</v>
      </c>
      <c r="G10" s="2"/>
      <c r="H10" s="1"/>
      <c r="I10" s="1">
        <f t="shared" si="1"/>
        <v>0</v>
      </c>
      <c r="J10" s="1"/>
      <c r="K10" s="5"/>
    </row>
    <row r="11" spans="1:11">
      <c r="A11" s="4"/>
      <c r="B11" s="2"/>
      <c r="C11" s="1"/>
      <c r="D11" s="1"/>
      <c r="E11" s="1"/>
      <c r="F11" s="1">
        <f t="shared" si="0"/>
        <v>0</v>
      </c>
      <c r="G11" s="2"/>
      <c r="H11" s="1"/>
      <c r="I11" s="1">
        <f t="shared" si="1"/>
        <v>0</v>
      </c>
      <c r="J11" s="1"/>
      <c r="K11" s="5"/>
    </row>
    <row r="12" spans="1:11">
      <c r="A12" s="4"/>
      <c r="B12" s="2"/>
      <c r="C12" s="1"/>
      <c r="D12" s="1"/>
      <c r="E12" s="1"/>
      <c r="F12" s="1">
        <f t="shared" si="0"/>
        <v>0</v>
      </c>
      <c r="G12" s="2"/>
      <c r="H12" s="1"/>
      <c r="I12" s="1">
        <f t="shared" si="1"/>
        <v>0</v>
      </c>
      <c r="J12" s="1"/>
      <c r="K12" s="5"/>
    </row>
    <row r="13" spans="1:11">
      <c r="A13" s="4"/>
      <c r="B13" s="2"/>
      <c r="C13" s="1"/>
      <c r="D13" s="1"/>
      <c r="E13" s="1"/>
      <c r="F13" s="1">
        <f t="shared" si="0"/>
        <v>0</v>
      </c>
      <c r="G13" s="2"/>
      <c r="H13" s="1"/>
      <c r="I13" s="1">
        <f t="shared" si="1"/>
        <v>0</v>
      </c>
      <c r="J13" s="1"/>
      <c r="K13" s="5"/>
    </row>
    <row r="14" spans="1:11">
      <c r="A14" s="4"/>
      <c r="B14" s="2"/>
      <c r="C14" s="1"/>
      <c r="D14" s="1"/>
      <c r="E14" s="1"/>
      <c r="F14" s="1">
        <f t="shared" si="0"/>
        <v>0</v>
      </c>
      <c r="G14" s="2"/>
      <c r="H14" s="1"/>
      <c r="I14" s="1">
        <f t="shared" si="1"/>
        <v>0</v>
      </c>
      <c r="J14" s="1"/>
      <c r="K14" s="5"/>
    </row>
    <row r="15" spans="1:11">
      <c r="A15" s="4"/>
      <c r="B15" s="2"/>
      <c r="C15" s="1"/>
      <c r="D15" s="1"/>
      <c r="E15" s="1"/>
      <c r="F15" s="1">
        <f t="shared" si="0"/>
        <v>0</v>
      </c>
      <c r="G15" s="2"/>
      <c r="H15" s="1"/>
      <c r="I15" s="1">
        <f t="shared" si="1"/>
        <v>0</v>
      </c>
      <c r="J15" s="1"/>
      <c r="K15" s="5"/>
    </row>
    <row r="16" spans="1:11">
      <c r="A16" s="4"/>
      <c r="B16" s="2"/>
      <c r="C16" s="1"/>
      <c r="D16" s="1"/>
      <c r="E16" s="1"/>
      <c r="F16" s="1">
        <f t="shared" si="0"/>
        <v>0</v>
      </c>
      <c r="G16" s="2"/>
      <c r="H16" s="1"/>
      <c r="I16" s="1">
        <f t="shared" si="1"/>
        <v>0</v>
      </c>
      <c r="J16" s="1"/>
      <c r="K16" s="5"/>
    </row>
    <row r="17" spans="1:11">
      <c r="A17" s="4"/>
      <c r="B17" s="2"/>
      <c r="C17" s="1"/>
      <c r="D17" s="1"/>
      <c r="E17" s="1"/>
      <c r="F17" s="1">
        <f t="shared" si="0"/>
        <v>0</v>
      </c>
      <c r="G17" s="2"/>
      <c r="H17" s="1"/>
      <c r="I17" s="1">
        <f t="shared" si="1"/>
        <v>0</v>
      </c>
      <c r="J17" s="1"/>
      <c r="K17" s="5"/>
    </row>
    <row r="18" spans="1:11">
      <c r="A18" s="4"/>
      <c r="B18" s="2"/>
      <c r="C18" s="1"/>
      <c r="D18" s="1"/>
      <c r="E18" s="1"/>
      <c r="F18" s="1">
        <f t="shared" si="0"/>
        <v>0</v>
      </c>
      <c r="G18" s="2"/>
      <c r="H18" s="1"/>
      <c r="I18" s="1">
        <f t="shared" si="1"/>
        <v>0</v>
      </c>
      <c r="J18" s="1"/>
      <c r="K18" s="5"/>
    </row>
    <row r="19" spans="1:11">
      <c r="A19" s="4"/>
      <c r="B19" s="2"/>
      <c r="C19" s="1"/>
      <c r="D19" s="1"/>
      <c r="E19" s="1"/>
      <c r="F19" s="1">
        <f t="shared" si="0"/>
        <v>0</v>
      </c>
      <c r="G19" s="2"/>
      <c r="H19" s="1"/>
      <c r="I19" s="1">
        <f t="shared" si="1"/>
        <v>0</v>
      </c>
      <c r="J19" s="1"/>
      <c r="K19" s="5"/>
    </row>
    <row r="20" spans="1:11">
      <c r="A20" s="4"/>
      <c r="B20" s="2"/>
      <c r="C20" s="1"/>
      <c r="D20" s="1"/>
      <c r="E20" s="1"/>
      <c r="F20" s="1">
        <f t="shared" si="0"/>
        <v>0</v>
      </c>
      <c r="G20" s="2"/>
      <c r="H20" s="1"/>
      <c r="I20" s="1">
        <f t="shared" si="1"/>
        <v>0</v>
      </c>
      <c r="J20" s="1"/>
      <c r="K20" s="5"/>
    </row>
    <row r="21" spans="1:11">
      <c r="A21" s="4"/>
      <c r="B21" s="2"/>
      <c r="C21" s="1"/>
      <c r="D21" s="1"/>
      <c r="E21" s="1"/>
      <c r="F21" s="1">
        <f t="shared" si="0"/>
        <v>0</v>
      </c>
      <c r="G21" s="2"/>
      <c r="H21" s="1"/>
      <c r="I21" s="1">
        <f t="shared" si="1"/>
        <v>0</v>
      </c>
      <c r="J21" s="1"/>
      <c r="K21" s="5"/>
    </row>
    <row r="22" spans="1:11">
      <c r="A22" s="4"/>
      <c r="B22" s="2"/>
      <c r="C22" s="1"/>
      <c r="D22" s="1"/>
      <c r="E22" s="1"/>
      <c r="F22" s="1">
        <f t="shared" si="0"/>
        <v>0</v>
      </c>
      <c r="G22" s="2"/>
      <c r="H22" s="1"/>
      <c r="I22" s="1">
        <f t="shared" si="1"/>
        <v>0</v>
      </c>
      <c r="J22" s="1"/>
      <c r="K22" s="5"/>
    </row>
    <row r="23" spans="1:11">
      <c r="A23" s="4"/>
      <c r="B23" s="2"/>
      <c r="C23" s="1"/>
      <c r="D23" s="1"/>
      <c r="E23" s="1"/>
      <c r="F23" s="1">
        <f t="shared" si="0"/>
        <v>0</v>
      </c>
      <c r="G23" s="2"/>
      <c r="H23" s="1"/>
      <c r="I23" s="1">
        <f t="shared" si="1"/>
        <v>0</v>
      </c>
      <c r="J23" s="1"/>
      <c r="K23" s="5"/>
    </row>
    <row r="24" spans="1:11">
      <c r="A24" s="4"/>
      <c r="B24" s="2"/>
      <c r="C24" s="1"/>
      <c r="D24" s="1"/>
      <c r="E24" s="1"/>
      <c r="F24" s="1">
        <f t="shared" si="0"/>
        <v>0</v>
      </c>
      <c r="G24" s="2"/>
      <c r="H24" s="1"/>
      <c r="I24" s="1">
        <f t="shared" si="1"/>
        <v>0</v>
      </c>
      <c r="J24" s="1"/>
      <c r="K24" s="5"/>
    </row>
    <row r="25" spans="1:11">
      <c r="A25" s="4"/>
      <c r="B25" s="2"/>
      <c r="C25" s="1"/>
      <c r="D25" s="1"/>
      <c r="E25" s="1"/>
      <c r="F25" s="1">
        <f t="shared" si="0"/>
        <v>0</v>
      </c>
      <c r="G25" s="2"/>
      <c r="H25" s="1"/>
      <c r="I25" s="1">
        <f t="shared" si="1"/>
        <v>0</v>
      </c>
      <c r="J25" s="1"/>
      <c r="K25" s="5"/>
    </row>
    <row r="26" spans="1:11">
      <c r="A26" s="4"/>
      <c r="B26" s="2"/>
      <c r="C26" s="1"/>
      <c r="D26" s="1"/>
      <c r="E26" s="1"/>
      <c r="F26" s="1">
        <f t="shared" si="0"/>
        <v>0</v>
      </c>
      <c r="G26" s="2"/>
      <c r="H26" s="1"/>
      <c r="I26" s="1">
        <f t="shared" si="1"/>
        <v>0</v>
      </c>
      <c r="J26" s="1"/>
      <c r="K26" s="5"/>
    </row>
    <row r="27" spans="1:11">
      <c r="A27" s="4"/>
      <c r="B27" s="2"/>
      <c r="C27" s="1"/>
      <c r="D27" s="1"/>
      <c r="E27" s="1"/>
      <c r="F27" s="1">
        <f t="shared" si="0"/>
        <v>0</v>
      </c>
      <c r="G27" s="2"/>
      <c r="H27" s="1"/>
      <c r="I27" s="1">
        <f t="shared" si="1"/>
        <v>0</v>
      </c>
      <c r="J27" s="1"/>
      <c r="K27" s="5"/>
    </row>
    <row r="28" spans="1:11">
      <c r="A28" s="4"/>
      <c r="B28" s="2"/>
      <c r="C28" s="1"/>
      <c r="D28" s="1"/>
      <c r="E28" s="1"/>
      <c r="F28" s="1">
        <f t="shared" si="0"/>
        <v>0</v>
      </c>
      <c r="G28" s="2"/>
      <c r="H28" s="1"/>
      <c r="I28" s="1">
        <f t="shared" si="1"/>
        <v>0</v>
      </c>
      <c r="J28" s="1"/>
      <c r="K28" s="5"/>
    </row>
    <row r="29" spans="1:11">
      <c r="A29" s="4"/>
      <c r="B29" s="2"/>
      <c r="C29" s="1"/>
      <c r="D29" s="1"/>
      <c r="E29" s="1"/>
      <c r="F29" s="1">
        <f t="shared" si="0"/>
        <v>0</v>
      </c>
      <c r="G29" s="2"/>
      <c r="H29" s="1"/>
      <c r="I29" s="1">
        <f t="shared" si="1"/>
        <v>0</v>
      </c>
      <c r="J29" s="1"/>
      <c r="K29" s="5"/>
    </row>
    <row r="30" spans="1:11">
      <c r="A30" s="4"/>
      <c r="B30" s="2"/>
      <c r="C30" s="1"/>
      <c r="D30" s="1"/>
      <c r="E30" s="1"/>
      <c r="F30" s="1">
        <f t="shared" si="0"/>
        <v>0</v>
      </c>
      <c r="G30" s="2"/>
      <c r="H30" s="1"/>
      <c r="I30" s="1">
        <f t="shared" si="1"/>
        <v>0</v>
      </c>
      <c r="J30" s="1"/>
      <c r="K30" s="5"/>
    </row>
    <row r="31" spans="1:11">
      <c r="A31" s="4"/>
      <c r="B31" s="2"/>
      <c r="C31" s="1"/>
      <c r="D31" s="1"/>
      <c r="E31" s="1"/>
      <c r="F31" s="1">
        <f t="shared" si="0"/>
        <v>0</v>
      </c>
      <c r="G31" s="2"/>
      <c r="H31" s="1"/>
      <c r="I31" s="1">
        <f t="shared" si="1"/>
        <v>0</v>
      </c>
      <c r="J31" s="1"/>
      <c r="K31" s="5"/>
    </row>
    <row r="32" spans="1:11">
      <c r="A32" s="4"/>
      <c r="B32" s="2"/>
      <c r="C32" s="1"/>
      <c r="D32" s="1"/>
      <c r="E32" s="1"/>
      <c r="F32" s="1">
        <f t="shared" si="0"/>
        <v>0</v>
      </c>
      <c r="G32" s="2"/>
      <c r="H32" s="1"/>
      <c r="I32" s="1">
        <f t="shared" si="1"/>
        <v>0</v>
      </c>
      <c r="J32" s="1"/>
      <c r="K32" s="5"/>
    </row>
    <row r="33" spans="1:11">
      <c r="A33" s="4"/>
      <c r="B33" s="2"/>
      <c r="C33" s="1"/>
      <c r="D33" s="1"/>
      <c r="E33" s="1"/>
      <c r="F33" s="1">
        <f t="shared" si="0"/>
        <v>0</v>
      </c>
      <c r="G33" s="2"/>
      <c r="H33" s="1"/>
      <c r="I33" s="1">
        <f t="shared" si="1"/>
        <v>0</v>
      </c>
      <c r="J33" s="1"/>
      <c r="K33" s="5"/>
    </row>
    <row r="34" spans="1:11">
      <c r="A34" s="4"/>
      <c r="B34" s="2"/>
      <c r="C34" s="1"/>
      <c r="D34" s="1"/>
      <c r="E34" s="1"/>
      <c r="F34" s="1">
        <f t="shared" si="0"/>
        <v>0</v>
      </c>
      <c r="G34" s="2"/>
      <c r="H34" s="1"/>
      <c r="I34" s="1">
        <f t="shared" si="1"/>
        <v>0</v>
      </c>
      <c r="J34" s="1"/>
      <c r="K34" s="5"/>
    </row>
    <row r="35" spans="1:11">
      <c r="A35" s="4"/>
      <c r="B35" s="2"/>
      <c r="C35" s="1"/>
      <c r="D35" s="1"/>
      <c r="E35" s="1"/>
      <c r="F35" s="1">
        <f t="shared" si="0"/>
        <v>0</v>
      </c>
      <c r="G35" s="2"/>
      <c r="H35" s="1"/>
      <c r="I35" s="1">
        <f t="shared" si="1"/>
        <v>0</v>
      </c>
      <c r="J35" s="1"/>
      <c r="K35" s="5"/>
    </row>
    <row r="36" spans="1:11">
      <c r="A36" s="4"/>
      <c r="B36" s="2"/>
      <c r="C36" s="1"/>
      <c r="D36" s="1"/>
      <c r="E36" s="1"/>
      <c r="F36" s="1">
        <f t="shared" si="0"/>
        <v>0</v>
      </c>
      <c r="G36" s="2"/>
      <c r="H36" s="1"/>
      <c r="I36" s="1">
        <f t="shared" si="1"/>
        <v>0</v>
      </c>
      <c r="J36" s="1"/>
      <c r="K36" s="5"/>
    </row>
    <row r="37" spans="1:11">
      <c r="A37" s="4"/>
      <c r="B37" s="2"/>
      <c r="C37" s="1"/>
      <c r="D37" s="1"/>
      <c r="E37" s="1"/>
      <c r="F37" s="1">
        <f t="shared" si="0"/>
        <v>0</v>
      </c>
      <c r="G37" s="2"/>
      <c r="H37" s="1"/>
      <c r="I37" s="1">
        <f t="shared" si="1"/>
        <v>0</v>
      </c>
      <c r="J37" s="1"/>
      <c r="K37" s="5"/>
    </row>
    <row r="38" spans="1:11">
      <c r="A38" s="4"/>
      <c r="B38" s="2"/>
      <c r="C38" s="1"/>
      <c r="D38" s="1"/>
      <c r="E38" s="1"/>
      <c r="F38" s="1">
        <f t="shared" si="0"/>
        <v>0</v>
      </c>
      <c r="G38" s="2"/>
      <c r="H38" s="1"/>
      <c r="I38" s="1">
        <f t="shared" si="1"/>
        <v>0</v>
      </c>
      <c r="J38" s="1"/>
      <c r="K38" s="5"/>
    </row>
    <row r="39" spans="1:11">
      <c r="A39" s="4"/>
      <c r="B39" s="2"/>
      <c r="C39" s="1"/>
      <c r="D39" s="1"/>
      <c r="E39" s="1"/>
      <c r="F39" s="1">
        <f t="shared" si="0"/>
        <v>0</v>
      </c>
      <c r="G39" s="2"/>
      <c r="H39" s="1"/>
      <c r="I39" s="1">
        <f t="shared" si="1"/>
        <v>0</v>
      </c>
      <c r="J39" s="1"/>
      <c r="K39" s="5"/>
    </row>
    <row r="40" spans="1:11">
      <c r="A40" s="4"/>
      <c r="B40" s="2"/>
      <c r="C40" s="1"/>
      <c r="D40" s="1"/>
      <c r="E40" s="1"/>
      <c r="F40" s="1">
        <f t="shared" si="0"/>
        <v>0</v>
      </c>
      <c r="G40" s="2"/>
      <c r="H40" s="1"/>
      <c r="I40" s="1">
        <f t="shared" si="1"/>
        <v>0</v>
      </c>
      <c r="J40" s="1"/>
      <c r="K40" s="5"/>
    </row>
    <row r="41" spans="1:11">
      <c r="A41" s="4"/>
      <c r="B41" s="2"/>
      <c r="C41" s="1"/>
      <c r="D41" s="1"/>
      <c r="E41" s="1"/>
      <c r="F41" s="1">
        <f t="shared" si="0"/>
        <v>0</v>
      </c>
      <c r="G41" s="2"/>
      <c r="H41" s="1"/>
      <c r="I41" s="1">
        <f t="shared" si="1"/>
        <v>0</v>
      </c>
      <c r="J41" s="1"/>
      <c r="K41" s="5"/>
    </row>
    <row r="42" spans="1:11">
      <c r="A42" s="4"/>
      <c r="B42" s="2"/>
      <c r="C42" s="1"/>
      <c r="D42" s="1"/>
      <c r="E42" s="1"/>
      <c r="F42" s="1">
        <f t="shared" si="0"/>
        <v>0</v>
      </c>
      <c r="G42" s="2"/>
      <c r="H42" s="1"/>
      <c r="I42" s="1">
        <f t="shared" si="1"/>
        <v>0</v>
      </c>
      <c r="J42" s="1"/>
      <c r="K42" s="5"/>
    </row>
    <row r="43" spans="1:11">
      <c r="A43" s="4"/>
      <c r="B43" s="2"/>
      <c r="C43" s="1"/>
      <c r="D43" s="1"/>
      <c r="E43" s="1"/>
      <c r="F43" s="1">
        <f>D43*E43</f>
        <v>0</v>
      </c>
      <c r="G43" s="2"/>
      <c r="H43" s="1"/>
      <c r="I43" s="1">
        <f>I42+F43-H43</f>
        <v>0</v>
      </c>
      <c r="J43" s="1"/>
      <c r="K43" s="5"/>
    </row>
    <row r="44" spans="1:11">
      <c r="A44" s="4"/>
      <c r="B44" s="2"/>
      <c r="C44" s="1"/>
      <c r="D44" s="1"/>
      <c r="E44" s="1"/>
      <c r="F44" s="1">
        <f>D44*E44</f>
        <v>0</v>
      </c>
      <c r="G44" s="2"/>
      <c r="H44" s="1"/>
      <c r="I44" s="1">
        <f>I43+F44-H44</f>
        <v>0</v>
      </c>
      <c r="J44" s="1"/>
      <c r="K44" s="5"/>
    </row>
    <row r="45" spans="1:11">
      <c r="A45" s="4"/>
      <c r="B45" s="2"/>
      <c r="C45" s="1"/>
      <c r="D45" s="1"/>
      <c r="E45" s="1"/>
      <c r="F45" s="1">
        <f>D45*E45</f>
        <v>0</v>
      </c>
      <c r="G45" s="2"/>
      <c r="H45" s="1"/>
      <c r="I45" s="1">
        <f>I44+F45-H45</f>
        <v>0</v>
      </c>
      <c r="J45" s="1"/>
      <c r="K45" s="5"/>
    </row>
    <row r="46" spans="1:11">
      <c r="A46" s="4"/>
      <c r="B46" s="2"/>
      <c r="C46" s="1"/>
      <c r="D46" s="1"/>
      <c r="E46" s="1"/>
      <c r="F46" s="1">
        <f t="shared" si="0"/>
        <v>0</v>
      </c>
      <c r="G46" s="2"/>
      <c r="H46" s="1"/>
      <c r="I46" s="1">
        <f>I45+F46-H46</f>
        <v>0</v>
      </c>
      <c r="J46" s="1"/>
      <c r="K46" s="5"/>
    </row>
    <row r="47" spans="1:11">
      <c r="A47" s="8"/>
      <c r="B47" s="9"/>
      <c r="C47" s="10"/>
      <c r="D47" s="10"/>
      <c r="E47" s="10"/>
      <c r="F47" s="10">
        <f t="shared" si="0"/>
        <v>0</v>
      </c>
      <c r="G47" s="2"/>
      <c r="H47" s="10"/>
      <c r="I47" s="10">
        <f t="shared" si="1"/>
        <v>0</v>
      </c>
      <c r="J47" s="10"/>
      <c r="K47" s="11"/>
    </row>
    <row r="48" spans="1:11">
      <c r="A48" s="16" t="s">
        <v>86</v>
      </c>
      <c r="B48" s="9"/>
      <c r="C48" s="9"/>
      <c r="D48" s="9"/>
      <c r="E48" s="9"/>
      <c r="F48" s="9">
        <f>SUBTOTAL(109,テーブル131213141516171819202122232427282930313233343536373839404142434445464748495051[仕入金額])</f>
        <v>0</v>
      </c>
      <c r="G48" s="9"/>
      <c r="H48" s="9">
        <f>SUBTOTAL(109,テーブル131213141516171819202122232427282930313233343536373839404142434445464748495051[支払金額])</f>
        <v>0</v>
      </c>
      <c r="I48" s="9">
        <f>テーブル131213141516171819202122232427282930313233343536373839404142434445464748495051[[#Totals],[仕入金額]]-テーブル131213141516171819202122232427282930313233343536373839404142434445464748495051[[#Totals],[支払金額]]</f>
        <v>0</v>
      </c>
      <c r="J48" s="9"/>
      <c r="K48" s="17"/>
    </row>
  </sheetData>
  <phoneticPr fontId="1"/>
  <dataValidations count="4">
    <dataValidation type="list" allowBlank="1" showInputMessage="1" showErrorMessage="1" sqref="G2:G47" xr:uid="{26EC0332-2F21-4039-BE30-C745C04CF1E1}">
      <formula1>",合銀1,合銀,島銀,現金,振込手数,値引"</formula1>
    </dataValidation>
    <dataValidation type="list" allowBlank="1" showInputMessage="1" showErrorMessage="1" sqref="B2:B47" xr:uid="{22AC9453-5AF2-4A77-9CC4-54D70A921F08}">
      <formula1>"田原,田中,高木,勝田,森山,市村,金築,その他"</formula1>
    </dataValidation>
    <dataValidation type="list" allowBlank="1" showInputMessage="1" showErrorMessage="1" sqref="J2:K47" xr:uid="{2D74A35F-F38D-450B-A1DD-5F5DEC9B3F73}">
      <formula1>"  ,済"</formula1>
    </dataValidation>
    <dataValidation type="list" allowBlank="1" showInputMessage="1" showErrorMessage="1" sqref="G49:G61" xr:uid="{C2649A4E-6305-4B0F-BF45-09AA98A358EA}">
      <formula1>",合銀1,合銀,島銀,振込手数,    "</formula1>
    </dataValidation>
  </dataValidations>
  <pageMargins left="0.23622047244094491" right="0.23622047244094491" top="0.55118110236220474" bottom="0.55118110236220474" header="0.31496062992125984" footer="0.31496062992125984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116836-FCED-4550-B2C3-18AA65EB37B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多賀橋 良斗</cp:lastModifiedBy>
  <cp:revision/>
  <dcterms:created xsi:type="dcterms:W3CDTF">2022-07-22T05:16:45Z</dcterms:created>
  <dcterms:modified xsi:type="dcterms:W3CDTF">2022-11-04T13:15:55Z</dcterms:modified>
  <cp:category/>
  <cp:contentStatus/>
</cp:coreProperties>
</file>